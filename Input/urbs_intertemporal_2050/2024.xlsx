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CE1CACB3-5E98-40DC-AEBB-980362CE09E6}" xr6:coauthVersionLast="47" xr6:coauthVersionMax="47" xr10:uidLastSave="{00000000-0000-0000-0000-000000000000}"/>
  <bookViews>
    <workbookView xWindow="28680" yWindow="-5445" windowWidth="38640" windowHeight="21120" tabRatio="796" activeTab="4"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0" l="1"/>
  <c r="E29" i="10"/>
  <c r="E31" i="10" s="1"/>
  <c r="E5" i="10" l="1"/>
  <c r="E26" i="10"/>
  <c r="E28" i="10" l="1"/>
  <c r="E27" i="10"/>
  <c r="E23" i="10"/>
  <c r="E25" i="10" s="1"/>
  <c r="E21" i="10"/>
  <c r="E24" i="10" s="1"/>
  <c r="E20" i="10"/>
  <c r="E22" i="10" s="1"/>
  <c r="E19" i="10"/>
  <c r="E18" i="10"/>
  <c r="E17" i="10"/>
  <c r="E16" i="10"/>
  <c r="E15" i="10"/>
  <c r="E14" i="10"/>
  <c r="E12" i="10"/>
  <c r="E11" i="10"/>
  <c r="E10" i="10"/>
  <c r="E9" i="10"/>
  <c r="E8" i="10"/>
  <c r="E7" i="10"/>
  <c r="E6" i="10"/>
  <c r="E3" i="10"/>
  <c r="F3" i="5"/>
  <c r="E3" i="5"/>
  <c r="D3" i="5"/>
  <c r="F2" i="5"/>
  <c r="E2" i="5"/>
  <c r="D2" i="5"/>
  <c r="O3" i="7" l="1"/>
</calcChain>
</file>

<file path=xl/sharedStrings.xml><?xml version="1.0" encoding="utf-8"?>
<sst xmlns="http://schemas.openxmlformats.org/spreadsheetml/2006/main" count="280" uniqueCount="105">
  <si>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</si>
  <si>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</si>
  <si>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</si>
  <si>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</si>
  <si>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</si>
  <si>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</si>
  <si>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</si>
  <si>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</si>
  <si>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</si>
  <si>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</si>
  <si>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</si>
  <si>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</si>
  <si>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</si>
  <si>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</si>
  <si>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</si>
  <si>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</si>
  <si>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</si>
  <si>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</si>
  <si>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</si>
  <si>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</si>
  <si>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</si>
  <si>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</si>
  <si>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</si>
  <si>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</si>
  <si>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</si>
  <si>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</si>
  <si>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</si>
  <si>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</si>
  <si>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</si>
  <si>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</si>
  <si>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</si>
  <si>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</si>
  <si>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</si>
  <si>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</si>
  <si>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</si>
  <si>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</si>
  <si>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</si>
  <si>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</si>
  <si>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</si>
  <si>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</si>
  <si>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</si>
  <si>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</si>
  <si>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</si>
  <si>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</si>
  <si>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</si>
  <si>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</si>
  <si>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</si>
  <si>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</si>
  <si>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</si>
  <si>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</si>
  <si>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</si>
  <si>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</si>
  <si>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</si>
  <si>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</si>
  <si>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</si>
  <si>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</si>
  <si>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</si>
  <si>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</si>
  <si>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</si>
  <si>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</si>
  <si>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</si>
  <si>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</si>
  <si>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</si>
  <si>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</si>
  <si>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</si>
  <si>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</si>
  <si>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</si>
  <si>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</si>
  <si>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</si>
  <si>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</si>
  <si>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</si>
  <si>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</si>
  <si>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</si>
  <si>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</si>
  <si>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</si>
  <si>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</si>
  <si>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</si>
  <si>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</si>
  <si>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</si>
  <si>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</si>
  <si>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</si>
  <si>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</si>
  <si>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</si>
  <si>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</si>
  <si>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</si>
  <si>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</si>
  <si>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</si>
  <si>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Coal Lignite</t>
  </si>
  <si>
    <t>Gas Plant (CCGT)</t>
  </si>
  <si>
    <t>Nuclear Plant</t>
  </si>
  <si>
    <t>Biomass Plant</t>
  </si>
  <si>
    <t>Biomass</t>
  </si>
  <si>
    <t>Nuclear Fuel</t>
  </si>
  <si>
    <t>Coal</t>
  </si>
  <si>
    <t>EU27</t>
  </si>
  <si>
    <t>EU27.Elec</t>
  </si>
  <si>
    <t>EU27.Hydro</t>
  </si>
  <si>
    <t>EU27.Lignite plant</t>
  </si>
  <si>
    <t>EU27.Gas plant</t>
  </si>
  <si>
    <t>Coal CCUS</t>
  </si>
  <si>
    <t>Coal Lignite CCUS</t>
  </si>
  <si>
    <t>Gas Plant (CCGT) CCUS</t>
  </si>
  <si>
    <t>Piped Gas</t>
  </si>
  <si>
    <t>Gas Plant (CCGT) LNG</t>
  </si>
  <si>
    <t>LNG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</si>
</sst>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0.00\ &quot;€&quot;_-;\-* #,##0.00\ &quot;€&quot;_-;_-* &quot;-&quot;??\ &quot;€&quot;_-;_-@_-"/>
    <numFmt numFmtId="165" formatCode="_-* #,##0.00\ _€_-;\-* #,##0.00\ _€_-;_-* &quot;-&quot;??\ _€_-;_-@_-"/>
    <numFmt numFmtId="166" formatCode="0.0000"/>
    <numFmt numFmtId="167" formatCode="0.0"/>
    <numFmt numFmtId="168" formatCode="_-* #,##0_-;\-* #,##0_-;_-* &quot;-&quot;??_-;_-@_-"/>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59999389629810485"/>
        <bgColor indexed="64"/>
      </patternFill>
    </fill>
  </fills>
  <borders count="21">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
      <left/>
      <right/>
      <top/>
      <bottom style="thin">
        <color indexed="64"/>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7">
    <xf numFmtId="0" fontId="0" fillId="0" borderId="0" xfId="0"/>
    <xf numFmtId="49" fontId="0" fillId="0" borderId="0" xfId="0" applyNumberFormat="1" applyAlignment="1">
      <alignment horizontal="left"/>
    </xf>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25" fillId="66" borderId="0" xfId="0" applyFont="1" applyFill="1"/>
    <xf numFmtId="0" fontId="25" fillId="67" borderId="0" xfId="0" applyFont="1" applyFill="1"/>
    <xf numFmtId="0" fontId="0" fillId="68" borderId="0" xfId="0" applyFill="1" applyAlignment="1">
      <alignment horizontal="right"/>
    </xf>
    <xf numFmtId="0" fontId="0" fillId="68" borderId="0" xfId="0" applyFill="1"/>
    <xf numFmtId="167" fontId="0" fillId="69" borderId="0" xfId="0" applyNumberFormat="1" applyFill="1"/>
    <xf numFmtId="0" fontId="0" fillId="69" borderId="0" xfId="0" applyFill="1"/>
    <xf numFmtId="3" fontId="0" fillId="69" borderId="0" xfId="0" applyNumberFormat="1" applyFill="1"/>
    <xf numFmtId="3" fontId="0" fillId="69" borderId="0" xfId="0" applyNumberFormat="1" applyFill="1" applyAlignment="1">
      <alignment horizontal="right"/>
    </xf>
    <xf numFmtId="0" fontId="0" fillId="70" borderId="0" xfId="0" applyFill="1"/>
    <xf numFmtId="0" fontId="0" fillId="28" borderId="0" xfId="0" applyFill="1" applyAlignment="1">
      <alignment horizontal="left"/>
    </xf>
    <xf numFmtId="0" fontId="0" fillId="0" borderId="20" xfId="0" applyBorder="1"/>
    <xf numFmtId="3" fontId="0" fillId="0" borderId="0" xfId="0" applyNumberFormat="1" applyAlignment="1">
      <alignment vertical="top"/>
    </xf>
    <xf numFmtId="3" fontId="0" fillId="0" borderId="0" xfId="0" applyNumberFormat="1" applyAlignment="1">
      <alignment vertical="center" wrapText="1"/>
    </xf>
    <xf numFmtId="168" fontId="0" fillId="0" borderId="0" xfId="0" applyNumberFormat="1" applyAlignment="1">
      <alignment horizontal="center"/>
    </xf>
    <xf numFmtId="0" fontId="0" fillId="66" borderId="19" xfId="0" applyFill="1" applyBorder="1" applyAlignment="1">
      <alignment horizontal="left"/>
    </xf>
    <xf numFmtId="0" fontId="0" fillId="71" borderId="0" xfId="0" applyFill="1"/>
    <xf numFmtId="0" fontId="0" fillId="66" borderId="0" xfId="0" applyFill="1" applyAlignment="1">
      <alignment horizontal="right" indent="2"/>
    </xf>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3">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2" customWidth="1"/>
    <col min="2" max="2" width="17.33203125" style="32" bestFit="1" customWidth="1"/>
    <col min="3" max="3" width="74.88671875" style="32" bestFit="1" customWidth="1"/>
    <col min="4" max="16384" width="11.44140625" style="32"/>
  </cols>
  <sheetData>
    <row r="1" spans="1:3">
      <c r="A1" s="30" t="s">
        <v>59</v>
      </c>
      <c r="B1" s="31" t="s">
        <v>61</v>
      </c>
      <c r="C1" s="31" t="s">
        <v>62</v>
      </c>
    </row>
    <row r="2" spans="1:3">
      <c r="A2" s="33" t="s">
        <v>65</v>
      </c>
      <c r="B2" s="37">
        <v>2024</v>
      </c>
      <c r="C2" s="29" t="s">
        <v>66</v>
      </c>
    </row>
    <row r="3" spans="1:3">
      <c r="A3" s="33" t="s">
        <v>67</v>
      </c>
      <c r="B3" s="37">
        <v>0.03</v>
      </c>
      <c r="C3" s="29" t="s">
        <v>68</v>
      </c>
    </row>
    <row r="4" spans="1:3" ht="43.2">
      <c r="A4" s="33" t="s">
        <v>60</v>
      </c>
      <c r="B4" s="62" t="s">
        <v>27</v>
      </c>
      <c r="C4" s="29" t="s">
        <v>69</v>
      </c>
    </row>
    <row r="5" spans="1:3">
      <c r="A5" s="33" t="s">
        <v>75</v>
      </c>
      <c r="B5" s="38" t="s">
        <v>27</v>
      </c>
      <c r="C5" s="29" t="s">
        <v>70</v>
      </c>
    </row>
    <row r="6" spans="1:3" ht="28.8">
      <c r="A6" s="33" t="s">
        <v>71</v>
      </c>
      <c r="B6" s="61" t="s">
        <v>27</v>
      </c>
      <c r="C6" s="29" t="s">
        <v>72</v>
      </c>
    </row>
    <row r="7" spans="1:3">
      <c r="B7" s="61"/>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2" t="s">
        <v>56</v>
      </c>
    </row>
    <row r="2" spans="1:2">
      <c r="A2" s="4" t="s">
        <v>94</v>
      </c>
      <c r="B2" s="7">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0"/>
  <sheetViews>
    <sheetView workbookViewId="0">
      <selection activeCell="B10" sqref="B10"/>
    </sheetView>
  </sheetViews>
  <sheetFormatPr baseColWidth="10" defaultColWidth="11.44140625" defaultRowHeight="14.4"/>
  <cols>
    <col min="1" max="1" width="10.6640625" style="3" customWidth="1"/>
    <col min="2" max="2" width="13.5546875" style="3" bestFit="1" customWidth="1"/>
    <col min="3" max="3" width="10.6640625" style="3" customWidth="1"/>
    <col min="4" max="4" width="10.6640625" style="9" customWidth="1"/>
    <col min="5" max="5" width="16.33203125" style="9" customWidth="1"/>
    <col min="6" max="6" width="13.88671875" style="10" bestFit="1" customWidth="1"/>
    <col min="7" max="16384" width="11.44140625" style="3"/>
  </cols>
  <sheetData>
    <row r="1" spans="1:6" customFormat="1">
      <c r="A1" t="s">
        <v>43</v>
      </c>
      <c r="B1" t="s">
        <v>38</v>
      </c>
      <c r="C1" t="s">
        <v>2</v>
      </c>
      <c r="D1" s="12" t="s">
        <v>6</v>
      </c>
      <c r="E1" s="12" t="s">
        <v>7</v>
      </c>
      <c r="F1" s="11" t="s">
        <v>63</v>
      </c>
    </row>
    <row r="2" spans="1:6">
      <c r="A2" s="4" t="s">
        <v>94</v>
      </c>
      <c r="B2" s="4" t="s">
        <v>1</v>
      </c>
      <c r="C2" s="4" t="s">
        <v>3</v>
      </c>
      <c r="D2" s="28" t="e">
        <f>NA()</f>
        <v>#N/A</v>
      </c>
      <c r="E2" s="28" t="e">
        <f>NA()</f>
        <v>#N/A</v>
      </c>
      <c r="F2" s="28" t="e">
        <f>NA()</f>
        <v>#N/A</v>
      </c>
    </row>
    <row r="3" spans="1:6">
      <c r="A3" s="4" t="s">
        <v>94</v>
      </c>
      <c r="B3" s="4" t="s">
        <v>35</v>
      </c>
      <c r="C3" s="4" t="s">
        <v>4</v>
      </c>
      <c r="D3" s="28" t="e">
        <f>NA()</f>
        <v>#N/A</v>
      </c>
      <c r="E3" s="28" t="e">
        <f>NA()</f>
        <v>#N/A</v>
      </c>
      <c r="F3" s="28" t="e">
        <f>NA()</f>
        <v>#N/A</v>
      </c>
    </row>
    <row r="4" spans="1:6">
      <c r="A4" s="4" t="s">
        <v>94</v>
      </c>
      <c r="B4" s="4" t="s">
        <v>36</v>
      </c>
      <c r="C4" s="4" t="s">
        <v>5</v>
      </c>
      <c r="D4">
        <v>8.64</v>
      </c>
      <c r="E4" s="7" t="s">
        <v>27</v>
      </c>
      <c r="F4" s="8" t="s">
        <v>27</v>
      </c>
    </row>
    <row r="5" spans="1:6">
      <c r="A5" s="4" t="s">
        <v>94</v>
      </c>
      <c r="B5" s="4" t="s">
        <v>102</v>
      </c>
      <c r="C5" s="4" t="s">
        <v>5</v>
      </c>
      <c r="D5">
        <v>22.68</v>
      </c>
      <c r="E5" s="7">
        <v>319200000</v>
      </c>
      <c r="F5" s="8" t="s">
        <v>27</v>
      </c>
    </row>
    <row r="6" spans="1:6">
      <c r="A6" s="4" t="s">
        <v>94</v>
      </c>
      <c r="B6" s="4" t="s">
        <v>25</v>
      </c>
      <c r="C6" s="4" t="s">
        <v>26</v>
      </c>
      <c r="D6">
        <v>65</v>
      </c>
      <c r="E6" s="7" t="s">
        <v>27</v>
      </c>
      <c r="F6" s="7" t="s">
        <v>27</v>
      </c>
    </row>
    <row r="7" spans="1:6">
      <c r="A7" s="4" t="s">
        <v>94</v>
      </c>
      <c r="B7" s="4" t="s">
        <v>91</v>
      </c>
      <c r="C7" s="4" t="s">
        <v>5</v>
      </c>
      <c r="D7">
        <v>67.680000000000007</v>
      </c>
      <c r="E7" s="7" t="s">
        <v>27</v>
      </c>
      <c r="F7" s="8" t="s">
        <v>27</v>
      </c>
    </row>
    <row r="8" spans="1:6">
      <c r="A8" s="4" t="s">
        <v>94</v>
      </c>
      <c r="B8" s="4" t="s">
        <v>92</v>
      </c>
      <c r="C8" s="4" t="s">
        <v>5</v>
      </c>
      <c r="D8">
        <v>6.12</v>
      </c>
      <c r="E8" s="7" t="s">
        <v>27</v>
      </c>
      <c r="F8" s="8" t="s">
        <v>27</v>
      </c>
    </row>
    <row r="9" spans="1:6">
      <c r="A9" s="4" t="s">
        <v>94</v>
      </c>
      <c r="B9" s="4" t="s">
        <v>93</v>
      </c>
      <c r="C9" s="4" t="s">
        <v>5</v>
      </c>
      <c r="D9">
        <v>6.48</v>
      </c>
      <c r="E9" s="7" t="s">
        <v>27</v>
      </c>
      <c r="F9" s="8" t="s">
        <v>27</v>
      </c>
    </row>
    <row r="10" spans="1:6">
      <c r="A10" s="4" t="s">
        <v>94</v>
      </c>
      <c r="B10" s="4" t="s">
        <v>104</v>
      </c>
      <c r="C10" s="4" t="s">
        <v>5</v>
      </c>
      <c r="D10">
        <v>23.62</v>
      </c>
      <c r="E10" s="7" t="s">
        <v>27</v>
      </c>
      <c r="F10" s="8" t="s">
        <v>27</v>
      </c>
    </row>
  </sheetData>
  <autoFilter ref="B1:F4" xr:uid="{00000000-0009-0000-0000-000002000000}"/>
  <phoneticPr fontId="0" type="noConversion"/>
  <conditionalFormatting sqref="B8:B10">
    <cfRule type="expression" dxfId="22" priority="1">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2"/>
  <sheetViews>
    <sheetView workbookViewId="0">
      <selection activeCell="F8" sqref="F8"/>
    </sheetView>
  </sheetViews>
  <sheetFormatPr baseColWidth="10" defaultColWidth="11.44140625" defaultRowHeight="14.4"/>
  <cols>
    <col min="1" max="1" width="10.6640625" style="3" customWidth="1"/>
    <col min="2" max="2" width="16.33203125" style="3" bestFit="1" customWidth="1"/>
    <col min="3" max="5" width="10.6640625" style="20" customWidth="1"/>
    <col min="6" max="6" width="20.109375" style="20" customWidth="1"/>
    <col min="7" max="7" width="18.109375" style="20" customWidth="1"/>
    <col min="8" max="8" width="10.6640625" style="3" customWidth="1"/>
    <col min="9" max="9" width="24" style="20" customWidth="1"/>
    <col min="10" max="10" width="10.6640625" style="20" customWidth="1"/>
    <col min="11" max="11" width="10.6640625" style="22" customWidth="1"/>
    <col min="12" max="12" width="16.109375" style="3" bestFit="1" customWidth="1"/>
    <col min="13" max="13" width="10.5546875" style="3" customWidth="1"/>
    <col min="14" max="14" width="14.88671875" style="23" bestFit="1" customWidth="1"/>
    <col min="15" max="15" width="14.88671875" style="3" bestFit="1" customWidth="1"/>
    <col min="16" max="16384" width="11.44140625" style="3"/>
  </cols>
  <sheetData>
    <row r="1" spans="1:15" customFormat="1">
      <c r="A1" t="s">
        <v>43</v>
      </c>
      <c r="B1" t="s">
        <v>42</v>
      </c>
      <c r="C1" s="17" t="s">
        <v>8</v>
      </c>
      <c r="D1" s="17" t="s">
        <v>73</v>
      </c>
      <c r="E1" s="17" t="s">
        <v>9</v>
      </c>
      <c r="F1" s="17" t="s">
        <v>10</v>
      </c>
      <c r="G1" s="17" t="s">
        <v>49</v>
      </c>
      <c r="H1" s="36" t="s">
        <v>55</v>
      </c>
      <c r="I1" s="17" t="s">
        <v>12</v>
      </c>
      <c r="J1" s="17" t="s">
        <v>13</v>
      </c>
      <c r="K1" s="19" t="s">
        <v>14</v>
      </c>
      <c r="L1" s="36" t="s">
        <v>74</v>
      </c>
      <c r="M1" s="16" t="s">
        <v>15</v>
      </c>
      <c r="N1" s="16" t="s">
        <v>16</v>
      </c>
      <c r="O1" s="16" t="s">
        <v>57</v>
      </c>
    </row>
    <row r="2" spans="1:15">
      <c r="A2" s="3" t="s">
        <v>94</v>
      </c>
      <c r="B2" s="49" t="s">
        <v>84</v>
      </c>
      <c r="C2" s="50">
        <v>46710</v>
      </c>
      <c r="D2" s="20">
        <v>30</v>
      </c>
      <c r="E2" s="20">
        <v>0</v>
      </c>
      <c r="F2" s="51">
        <v>46710</v>
      </c>
      <c r="G2" s="52" t="s">
        <v>27</v>
      </c>
      <c r="H2" s="53">
        <v>0</v>
      </c>
      <c r="I2" s="54">
        <v>2731780.3800000004</v>
      </c>
      <c r="J2" s="54">
        <v>9923.6103600000006</v>
      </c>
      <c r="K2" s="54">
        <v>0</v>
      </c>
      <c r="L2" s="55">
        <v>0</v>
      </c>
      <c r="M2" s="42">
        <v>7.0999999999999994E-2</v>
      </c>
      <c r="N2" s="55">
        <v>60</v>
      </c>
      <c r="O2" s="28" t="e">
        <v>#N/A</v>
      </c>
    </row>
    <row r="3" spans="1:15">
      <c r="A3" s="3" t="s">
        <v>94</v>
      </c>
      <c r="B3" s="49" t="s">
        <v>85</v>
      </c>
      <c r="C3" s="50">
        <v>59840</v>
      </c>
      <c r="D3" s="20">
        <v>30</v>
      </c>
      <c r="E3" s="20">
        <v>0</v>
      </c>
      <c r="F3" s="51">
        <v>59840</v>
      </c>
      <c r="G3" s="52" t="s">
        <v>27</v>
      </c>
      <c r="H3" s="53">
        <v>0</v>
      </c>
      <c r="I3" s="55">
        <v>3345037.2</v>
      </c>
      <c r="J3" s="55">
        <v>28432.799999999999</v>
      </c>
      <c r="K3" s="55">
        <v>0.35699999999999998</v>
      </c>
      <c r="L3" s="55">
        <v>0</v>
      </c>
      <c r="M3" s="42">
        <v>7.0999999999999994E-2</v>
      </c>
      <c r="N3" s="55">
        <v>50</v>
      </c>
      <c r="O3" s="28" t="e">
        <v>#N/A</v>
      </c>
    </row>
    <row r="4" spans="1:15">
      <c r="A4" s="3" t="s">
        <v>94</v>
      </c>
      <c r="B4" s="49" t="s">
        <v>86</v>
      </c>
      <c r="C4" s="50">
        <v>53560</v>
      </c>
      <c r="D4" s="20">
        <v>5</v>
      </c>
      <c r="E4" s="20">
        <v>0</v>
      </c>
      <c r="F4" s="50">
        <v>53560</v>
      </c>
      <c r="G4" s="52" t="s">
        <v>27</v>
      </c>
      <c r="H4" s="53">
        <v>0.5</v>
      </c>
      <c r="I4" s="56">
        <v>1784013.3447999998</v>
      </c>
      <c r="J4" s="57">
        <v>28544.213516800002</v>
      </c>
      <c r="K4" s="54">
        <v>2.7</v>
      </c>
      <c r="L4" s="55">
        <v>0</v>
      </c>
      <c r="M4" s="42">
        <v>7.0999999999999994E-2</v>
      </c>
      <c r="N4" s="55">
        <v>40</v>
      </c>
      <c r="O4" s="28" t="e">
        <v>#N/A</v>
      </c>
    </row>
    <row r="5" spans="1:15">
      <c r="A5" s="3" t="s">
        <v>94</v>
      </c>
      <c r="B5" s="49" t="s">
        <v>87</v>
      </c>
      <c r="C5" s="50">
        <v>43590</v>
      </c>
      <c r="D5" s="20">
        <v>5</v>
      </c>
      <c r="E5" s="20">
        <v>0</v>
      </c>
      <c r="F5" s="50">
        <v>43590</v>
      </c>
      <c r="G5" s="52" t="s">
        <v>27</v>
      </c>
      <c r="H5" s="53">
        <v>0.65</v>
      </c>
      <c r="I5" s="54">
        <v>2230016.6809999999</v>
      </c>
      <c r="J5" s="54">
        <v>52182.390330800001</v>
      </c>
      <c r="K5" s="55">
        <v>4.5999999999999996</v>
      </c>
      <c r="L5" s="55">
        <v>0</v>
      </c>
      <c r="M5" s="42">
        <v>7.0999999999999994E-2</v>
      </c>
      <c r="N5" s="55">
        <v>40</v>
      </c>
      <c r="O5" s="28" t="e">
        <v>#N/A</v>
      </c>
    </row>
    <row r="6" spans="1:15">
      <c r="A6" s="3" t="s">
        <v>94</v>
      </c>
      <c r="B6" s="49" t="s">
        <v>88</v>
      </c>
      <c r="C6" s="50">
        <v>132230</v>
      </c>
      <c r="D6" s="20">
        <v>9</v>
      </c>
      <c r="E6" s="20">
        <v>0</v>
      </c>
      <c r="F6" s="63">
        <v>999999</v>
      </c>
      <c r="G6" s="52" t="s">
        <v>27</v>
      </c>
      <c r="H6" s="53">
        <v>0</v>
      </c>
      <c r="I6" s="54">
        <v>802808.92800000007</v>
      </c>
      <c r="J6" s="54">
        <v>16725.186000000002</v>
      </c>
      <c r="K6" s="55">
        <v>2.6</v>
      </c>
      <c r="L6" s="56">
        <v>0</v>
      </c>
      <c r="M6" s="42">
        <v>7.0999999999999994E-2</v>
      </c>
      <c r="N6" s="55">
        <v>25</v>
      </c>
      <c r="O6" s="28" t="e">
        <v>#N/A</v>
      </c>
    </row>
    <row r="7" spans="1:15">
      <c r="A7" s="3" t="s">
        <v>94</v>
      </c>
      <c r="B7" s="49" t="s">
        <v>89</v>
      </c>
      <c r="C7" s="50">
        <v>94200</v>
      </c>
      <c r="D7" s="20">
        <v>55</v>
      </c>
      <c r="E7" s="20">
        <v>0</v>
      </c>
      <c r="F7" s="50">
        <v>94200</v>
      </c>
      <c r="G7" s="52" t="s">
        <v>27</v>
      </c>
      <c r="H7" s="53">
        <v>0</v>
      </c>
      <c r="I7" s="54">
        <v>5909565.7200000007</v>
      </c>
      <c r="J7" s="57">
        <v>133801.48800000001</v>
      </c>
      <c r="K7" s="54">
        <v>7.1</v>
      </c>
      <c r="L7" s="55">
        <v>0</v>
      </c>
      <c r="M7" s="42">
        <v>7.0999999999999994E-2</v>
      </c>
      <c r="N7" s="55">
        <v>60</v>
      </c>
      <c r="O7" s="28" t="e">
        <v>#N/A</v>
      </c>
    </row>
    <row r="8" spans="1:15">
      <c r="A8" s="3" t="s">
        <v>94</v>
      </c>
      <c r="B8" s="49" t="s">
        <v>90</v>
      </c>
      <c r="C8" s="50">
        <v>20420</v>
      </c>
      <c r="D8" s="20">
        <v>10</v>
      </c>
      <c r="E8" s="20">
        <v>0</v>
      </c>
      <c r="F8" s="20">
        <v>999999999999</v>
      </c>
      <c r="G8" s="52" t="s">
        <v>27</v>
      </c>
      <c r="H8" s="53">
        <v>0</v>
      </c>
      <c r="I8" s="58">
        <v>5648000</v>
      </c>
      <c r="J8" s="58">
        <v>0</v>
      </c>
      <c r="K8" s="58">
        <v>44.2</v>
      </c>
      <c r="L8" s="55">
        <v>0</v>
      </c>
      <c r="M8" s="42">
        <v>7.0999999999999994E-2</v>
      </c>
      <c r="N8" s="55">
        <v>25</v>
      </c>
      <c r="O8" s="28" t="e">
        <v>#N/A</v>
      </c>
    </row>
    <row r="9" spans="1:15">
      <c r="A9" s="3" t="s">
        <v>94</v>
      </c>
      <c r="B9" s="49" t="s">
        <v>99</v>
      </c>
      <c r="C9" s="50">
        <v>0</v>
      </c>
      <c r="D9" s="20">
        <v>0</v>
      </c>
      <c r="E9" s="20">
        <v>0</v>
      </c>
      <c r="F9" s="50">
        <v>0</v>
      </c>
      <c r="G9" s="52" t="s">
        <v>27</v>
      </c>
      <c r="H9" s="53">
        <v>0.5</v>
      </c>
      <c r="I9" s="55">
        <v>3791028.3572399998</v>
      </c>
      <c r="J9" s="55">
        <v>84183.129702000006</v>
      </c>
      <c r="K9" s="55">
        <v>6.75</v>
      </c>
      <c r="L9" s="56">
        <v>0</v>
      </c>
      <c r="M9" s="42">
        <v>7.0999999999999994E-2</v>
      </c>
      <c r="N9" s="55">
        <v>40</v>
      </c>
      <c r="O9" s="28" t="e">
        <v>#N/A</v>
      </c>
    </row>
    <row r="10" spans="1:15">
      <c r="A10" s="3" t="s">
        <v>94</v>
      </c>
      <c r="B10" s="49" t="s">
        <v>100</v>
      </c>
      <c r="C10" s="50">
        <v>0</v>
      </c>
      <c r="D10" s="20">
        <v>0</v>
      </c>
      <c r="E10" s="20">
        <v>0</v>
      </c>
      <c r="F10" s="50">
        <v>0</v>
      </c>
      <c r="G10" s="52" t="s">
        <v>27</v>
      </c>
      <c r="H10" s="53">
        <v>0.65</v>
      </c>
      <c r="I10" s="55">
        <v>4014030.0248799999</v>
      </c>
      <c r="J10" s="55">
        <v>76489.572146799997</v>
      </c>
      <c r="K10" s="55">
        <v>6.96</v>
      </c>
      <c r="L10" s="56">
        <v>0</v>
      </c>
      <c r="M10" s="42">
        <v>7.0999999999999994E-2</v>
      </c>
      <c r="N10" s="55">
        <v>40</v>
      </c>
      <c r="O10" s="28" t="e">
        <v>#N/A</v>
      </c>
    </row>
    <row r="11" spans="1:15">
      <c r="A11" s="3" t="s">
        <v>94</v>
      </c>
      <c r="B11" s="49" t="s">
        <v>101</v>
      </c>
      <c r="C11" s="64">
        <v>0</v>
      </c>
      <c r="D11" s="20">
        <v>0</v>
      </c>
      <c r="E11" s="20">
        <v>0</v>
      </c>
      <c r="F11" s="50">
        <v>0</v>
      </c>
      <c r="G11" s="52" t="s">
        <v>27</v>
      </c>
      <c r="H11" s="53">
        <v>0</v>
      </c>
      <c r="I11" s="55">
        <v>1951271.6999999997</v>
      </c>
      <c r="J11" s="55">
        <v>45715.5</v>
      </c>
      <c r="K11" s="55">
        <v>3.46</v>
      </c>
      <c r="L11" s="56">
        <v>0</v>
      </c>
      <c r="M11" s="42">
        <v>7.0999999999999994E-2</v>
      </c>
      <c r="N11" s="55">
        <v>25</v>
      </c>
      <c r="O11" s="28" t="e">
        <v>#N/A</v>
      </c>
    </row>
    <row r="12" spans="1:15">
      <c r="A12" s="3" t="s">
        <v>94</v>
      </c>
      <c r="B12" s="59" t="s">
        <v>103</v>
      </c>
      <c r="C12" s="50">
        <v>56670</v>
      </c>
      <c r="D12" s="20">
        <v>9</v>
      </c>
      <c r="E12" s="20">
        <v>0</v>
      </c>
      <c r="F12" s="63">
        <v>999999</v>
      </c>
      <c r="G12" s="52" t="s">
        <v>27</v>
      </c>
      <c r="H12" s="53">
        <v>0.25</v>
      </c>
      <c r="I12" s="54">
        <v>802808.92800000007</v>
      </c>
      <c r="J12" s="54">
        <v>16725.186000000002</v>
      </c>
      <c r="K12" s="55">
        <v>2.6</v>
      </c>
      <c r="L12" s="56">
        <v>0</v>
      </c>
      <c r="M12" s="42">
        <v>7.0999999999999994E-2</v>
      </c>
      <c r="N12" s="55">
        <v>25</v>
      </c>
      <c r="O12" s="28" t="e">
        <v>#N/A</v>
      </c>
    </row>
  </sheetData>
  <autoFilter ref="A1:N1" xr:uid="{00000000-0009-0000-0000-000003000000}"/>
  <phoneticPr fontId="0" type="noConversion"/>
  <conditionalFormatting sqref="A1:XFD4">
    <cfRule type="expression" dxfId="21" priority="12">
      <formula>NOT(EXACT(INDIRECT("Z"&amp;ROW()-1&amp;"S1",FALSE()), INDIRECT("Z"&amp;ROW()&amp;"S1",FALSE())))</formula>
    </cfRule>
  </conditionalFormatting>
  <conditionalFormatting sqref="B2:B3 A2:A12 D2:E12">
    <cfRule type="expression" dxfId="20" priority="10">
      <formula>NOT(EXACT(INDIRECT("Z"&amp;ROW()-1&amp;"S1",FALSE()), INDIRECT("Z"&amp;ROW()&amp;"S1",FALSE())))</formula>
    </cfRule>
  </conditionalFormatting>
  <conditionalFormatting sqref="B5:B12">
    <cfRule type="expression" dxfId="19" priority="3">
      <formula>NOT(EXACT(INDIRECT("Z"&amp;ROW()-1&amp;"S1",FALSE()), INDIRECT("Z"&amp;ROW()&amp;"S1",FALSE())))</formula>
    </cfRule>
  </conditionalFormatting>
  <conditionalFormatting sqref="C11">
    <cfRule type="expression" dxfId="18" priority="5">
      <formula>NOT(EXACT(INDIRECT("Z"&amp;ROW()-1&amp;"S1",FALSE()), INDIRECT("Z"&amp;ROW()&amp;"S1",FALSE())))</formula>
    </cfRule>
  </conditionalFormatting>
  <conditionalFormatting sqref="F8">
    <cfRule type="expression" dxfId="17" priority="7">
      <formula>NOT(EXACT(INDIRECT("Z"&amp;ROW()-1&amp;"S1",FALSE()), INDIRECT("Z"&amp;ROW()&amp;"S1",FALSE())))</formula>
    </cfRule>
  </conditionalFormatting>
  <conditionalFormatting sqref="H6">
    <cfRule type="expression" dxfId="16" priority="2">
      <formula>NOT(EXACT(INDIRECT("Z"&amp;ROW()-1&amp;"S1",FALSE()), INDIRECT("Z"&amp;ROW()&amp;"S1",FALSE())))</formula>
    </cfRule>
  </conditionalFormatting>
  <conditionalFormatting sqref="H11">
    <cfRule type="expression" dxfId="15" priority="1">
      <formula>NOT(EXACT(INDIRECT("Z"&amp;ROW()-1&amp;"S1",FALSE()), INDIRECT("Z"&amp;ROW()&amp;"S1",FALSE())))</formula>
    </cfRule>
  </conditionalFormatting>
  <conditionalFormatting sqref="I2:K2">
    <cfRule type="expression" dxfId="14" priority="9">
      <formula>NOT(EXACT(INDIRECT("Z"&amp;ROW()-1&amp;"S1",FALSE()), INDIRECT("Z"&amp;ROW()&amp;"S1",FALSE())))</formula>
    </cfRule>
  </conditionalFormatting>
  <conditionalFormatting sqref="P9:XFD17 A17 A18:XFD1048576">
    <cfRule type="expression" dxfId="13" priority="1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1"/>
  <sheetViews>
    <sheetView tabSelected="1" workbookViewId="0">
      <selection activeCell="B7" sqref="B7"/>
    </sheetView>
  </sheetViews>
  <sheetFormatPr baseColWidth="10" defaultColWidth="11.44140625" defaultRowHeight="14.4"/>
  <cols>
    <col min="1" max="1" width="16.33203125" style="3" bestFit="1" customWidth="1"/>
    <col min="2" max="2" width="13.5546875" style="3" bestFit="1" customWidth="1"/>
    <col min="3" max="3" width="11.44140625" style="3" bestFit="1" customWidth="1"/>
    <col min="4" max="4" width="20.6640625" style="21" customWidth="1"/>
    <col min="5" max="5" width="18.5546875" style="21" customWidth="1"/>
    <col min="6" max="16384" width="11.44140625" style="3"/>
  </cols>
  <sheetData>
    <row r="1" spans="1:5" customFormat="1">
      <c r="A1" t="s">
        <v>42</v>
      </c>
      <c r="B1" t="s">
        <v>38</v>
      </c>
      <c r="C1" t="s">
        <v>37</v>
      </c>
      <c r="D1" s="18" t="s">
        <v>41</v>
      </c>
      <c r="E1" s="18" t="s">
        <v>54</v>
      </c>
    </row>
    <row r="2" spans="1:5">
      <c r="A2" s="59" t="s">
        <v>87</v>
      </c>
      <c r="B2" s="4" t="s">
        <v>36</v>
      </c>
      <c r="C2" s="4" t="s">
        <v>39</v>
      </c>
      <c r="D2" s="24">
        <v>1</v>
      </c>
      <c r="E2" s="24">
        <v>2</v>
      </c>
    </row>
    <row r="3" spans="1:5">
      <c r="A3" s="59" t="s">
        <v>87</v>
      </c>
      <c r="B3" s="4" t="s">
        <v>35</v>
      </c>
      <c r="C3" s="4" t="s">
        <v>40</v>
      </c>
      <c r="D3" s="24">
        <v>0.41</v>
      </c>
      <c r="E3" s="24" t="e">
        <f>NA()</f>
        <v>#N/A</v>
      </c>
    </row>
    <row r="4" spans="1:5">
      <c r="A4" s="59" t="s">
        <v>87</v>
      </c>
      <c r="B4" s="4" t="s">
        <v>25</v>
      </c>
      <c r="C4" s="4" t="s">
        <v>40</v>
      </c>
      <c r="D4" s="24">
        <v>0.36299999999999999</v>
      </c>
      <c r="E4" s="24">
        <v>0.8</v>
      </c>
    </row>
    <row r="5" spans="1:5">
      <c r="A5" s="59" t="s">
        <v>88</v>
      </c>
      <c r="B5" s="4" t="s">
        <v>102</v>
      </c>
      <c r="C5" s="4" t="s">
        <v>39</v>
      </c>
      <c r="D5" s="24">
        <v>1</v>
      </c>
      <c r="E5" s="24" t="e">
        <f>D5*E3</f>
        <v>#N/A</v>
      </c>
    </row>
    <row r="6" spans="1:5">
      <c r="A6" s="59" t="s">
        <v>88</v>
      </c>
      <c r="B6" s="4" t="s">
        <v>35</v>
      </c>
      <c r="C6" s="4" t="s">
        <v>40</v>
      </c>
      <c r="D6" s="24">
        <v>0.6</v>
      </c>
      <c r="E6" s="24" t="e">
        <f>NA()</f>
        <v>#N/A</v>
      </c>
    </row>
    <row r="7" spans="1:5">
      <c r="A7" s="59" t="s">
        <v>88</v>
      </c>
      <c r="B7" s="4" t="s">
        <v>25</v>
      </c>
      <c r="C7" s="4" t="s">
        <v>40</v>
      </c>
      <c r="D7" s="24">
        <v>0.20499999999999999</v>
      </c>
      <c r="E7" s="24" t="e">
        <f>D7*E5</f>
        <v>#N/A</v>
      </c>
    </row>
    <row r="8" spans="1:5">
      <c r="A8" s="59" t="s">
        <v>90</v>
      </c>
      <c r="B8" s="4" t="s">
        <v>91</v>
      </c>
      <c r="C8" s="4" t="s">
        <v>39</v>
      </c>
      <c r="D8" s="24">
        <v>1</v>
      </c>
      <c r="E8" s="24" t="e">
        <f>NA()</f>
        <v>#N/A</v>
      </c>
    </row>
    <row r="9" spans="1:5">
      <c r="A9" s="59" t="s">
        <v>90</v>
      </c>
      <c r="B9" s="4" t="s">
        <v>35</v>
      </c>
      <c r="C9" s="4" t="s">
        <v>40</v>
      </c>
      <c r="D9" s="24">
        <v>0.35</v>
      </c>
      <c r="E9" s="24" t="e">
        <f>NA()</f>
        <v>#N/A</v>
      </c>
    </row>
    <row r="10" spans="1:5">
      <c r="A10" s="59" t="s">
        <v>90</v>
      </c>
      <c r="B10" s="4" t="s">
        <v>25</v>
      </c>
      <c r="C10" s="4" t="s">
        <v>40</v>
      </c>
      <c r="D10" s="24">
        <v>0</v>
      </c>
      <c r="E10" s="24" t="e">
        <f>NA()</f>
        <v>#N/A</v>
      </c>
    </row>
    <row r="11" spans="1:5">
      <c r="A11" s="59" t="s">
        <v>89</v>
      </c>
      <c r="B11" s="4" t="s">
        <v>92</v>
      </c>
      <c r="C11" s="4" t="s">
        <v>39</v>
      </c>
      <c r="D11" s="24">
        <v>1</v>
      </c>
      <c r="E11" s="24" t="e">
        <f>NA()</f>
        <v>#N/A</v>
      </c>
    </row>
    <row r="12" spans="1:5">
      <c r="A12" s="59" t="s">
        <v>89</v>
      </c>
      <c r="B12" s="4" t="s">
        <v>35</v>
      </c>
      <c r="C12" s="4" t="s">
        <v>40</v>
      </c>
      <c r="D12" s="24">
        <v>0.38</v>
      </c>
      <c r="E12" s="24" t="e">
        <f>NA()</f>
        <v>#N/A</v>
      </c>
    </row>
    <row r="13" spans="1:5">
      <c r="A13" s="59" t="s">
        <v>86</v>
      </c>
      <c r="B13" s="4" t="s">
        <v>93</v>
      </c>
      <c r="C13" s="4" t="s">
        <v>39</v>
      </c>
      <c r="D13" s="24">
        <v>1</v>
      </c>
      <c r="E13" s="24">
        <v>1.4</v>
      </c>
    </row>
    <row r="14" spans="1:5">
      <c r="A14" s="59" t="s">
        <v>86</v>
      </c>
      <c r="B14" s="4" t="s">
        <v>35</v>
      </c>
      <c r="C14" s="4" t="s">
        <v>40</v>
      </c>
      <c r="D14" s="24">
        <v>0.45</v>
      </c>
      <c r="E14" s="24" t="e">
        <f>NA()</f>
        <v>#N/A</v>
      </c>
    </row>
    <row r="15" spans="1:5">
      <c r="A15" s="59" t="s">
        <v>86</v>
      </c>
      <c r="B15" s="4" t="s">
        <v>25</v>
      </c>
      <c r="C15" s="4" t="s">
        <v>40</v>
      </c>
      <c r="D15" s="24">
        <v>0.34179999999999999</v>
      </c>
      <c r="E15" s="24">
        <f>D15*E13</f>
        <v>0.47851999999999995</v>
      </c>
    </row>
    <row r="16" spans="1:5">
      <c r="A16" s="59" t="s">
        <v>84</v>
      </c>
      <c r="B16" s="4" t="s">
        <v>1</v>
      </c>
      <c r="C16" s="4" t="s">
        <v>39</v>
      </c>
      <c r="D16" s="24">
        <v>1</v>
      </c>
      <c r="E16" s="24" t="e">
        <f>NA()</f>
        <v>#N/A</v>
      </c>
    </row>
    <row r="17" spans="1:5">
      <c r="A17" s="59" t="s">
        <v>84</v>
      </c>
      <c r="B17" s="4" t="s">
        <v>35</v>
      </c>
      <c r="C17" s="4" t="s">
        <v>40</v>
      </c>
      <c r="D17" s="24">
        <v>1</v>
      </c>
      <c r="E17" s="24" t="e">
        <f>NA()</f>
        <v>#N/A</v>
      </c>
    </row>
    <row r="18" spans="1:5">
      <c r="A18" s="59" t="s">
        <v>85</v>
      </c>
      <c r="B18" s="4" t="s">
        <v>1</v>
      </c>
      <c r="C18" s="4" t="s">
        <v>39</v>
      </c>
      <c r="D18" s="24">
        <v>1</v>
      </c>
      <c r="E18" s="24" t="e">
        <f>NA()</f>
        <v>#N/A</v>
      </c>
    </row>
    <row r="19" spans="1:5">
      <c r="A19" s="59" t="s">
        <v>85</v>
      </c>
      <c r="B19" s="4" t="s">
        <v>35</v>
      </c>
      <c r="C19" s="4" t="s">
        <v>40</v>
      </c>
      <c r="D19" s="24">
        <v>1</v>
      </c>
      <c r="E19" s="24" t="e">
        <f>NA()</f>
        <v>#N/A</v>
      </c>
    </row>
    <row r="20" spans="1:5">
      <c r="A20" s="59" t="s">
        <v>99</v>
      </c>
      <c r="B20" s="4" t="s">
        <v>93</v>
      </c>
      <c r="C20" s="4" t="s">
        <v>39</v>
      </c>
      <c r="D20" s="24">
        <v>1</v>
      </c>
      <c r="E20" s="24" t="e">
        <f>NA()</f>
        <v>#N/A</v>
      </c>
    </row>
    <row r="21" spans="1:5">
      <c r="A21" s="59" t="s">
        <v>99</v>
      </c>
      <c r="B21" s="4" t="s">
        <v>35</v>
      </c>
      <c r="C21" s="4" t="s">
        <v>40</v>
      </c>
      <c r="D21" s="65">
        <v>0.36</v>
      </c>
      <c r="E21" s="24" t="e">
        <f>D21*E19</f>
        <v>#N/A</v>
      </c>
    </row>
    <row r="22" spans="1:5">
      <c r="A22" s="59" t="s">
        <v>99</v>
      </c>
      <c r="B22" s="4" t="s">
        <v>25</v>
      </c>
      <c r="C22" s="4" t="s">
        <v>40</v>
      </c>
      <c r="D22" s="66">
        <v>3.4180000000000002E-2</v>
      </c>
      <c r="E22" s="24" t="e">
        <f>D22*E20</f>
        <v>#N/A</v>
      </c>
    </row>
    <row r="23" spans="1:5">
      <c r="A23" s="59" t="s">
        <v>100</v>
      </c>
      <c r="B23" s="4" t="s">
        <v>93</v>
      </c>
      <c r="C23" s="4" t="s">
        <v>39</v>
      </c>
      <c r="D23" s="24">
        <v>1</v>
      </c>
      <c r="E23" s="24" t="e">
        <f>NA()</f>
        <v>#N/A</v>
      </c>
    </row>
    <row r="24" spans="1:5">
      <c r="A24" s="59" t="s">
        <v>100</v>
      </c>
      <c r="B24" s="4" t="s">
        <v>35</v>
      </c>
      <c r="C24" s="4" t="s">
        <v>40</v>
      </c>
      <c r="D24" s="65">
        <v>0.32</v>
      </c>
      <c r="E24" s="24" t="e">
        <f>D24*E21</f>
        <v>#N/A</v>
      </c>
    </row>
    <row r="25" spans="1:5">
      <c r="A25" s="59" t="s">
        <v>100</v>
      </c>
      <c r="B25" s="4" t="s">
        <v>25</v>
      </c>
      <c r="C25" s="4" t="s">
        <v>40</v>
      </c>
      <c r="D25" s="66">
        <v>3.6299999999999999E-2</v>
      </c>
      <c r="E25" s="24" t="e">
        <f>D25*E23</f>
        <v>#N/A</v>
      </c>
    </row>
    <row r="26" spans="1:5">
      <c r="A26" s="59" t="s">
        <v>101</v>
      </c>
      <c r="B26" s="4" t="s">
        <v>102</v>
      </c>
      <c r="C26" s="4" t="s">
        <v>39</v>
      </c>
      <c r="D26" s="24">
        <v>1</v>
      </c>
      <c r="E26" s="24" t="e">
        <f>D26*E24</f>
        <v>#N/A</v>
      </c>
    </row>
    <row r="27" spans="1:5">
      <c r="A27" s="59" t="s">
        <v>101</v>
      </c>
      <c r="B27" s="4" t="s">
        <v>35</v>
      </c>
      <c r="C27" s="4" t="s">
        <v>40</v>
      </c>
      <c r="D27" s="65">
        <v>0.4</v>
      </c>
      <c r="E27" s="24" t="e">
        <f>NA()</f>
        <v>#N/A</v>
      </c>
    </row>
    <row r="28" spans="1:5">
      <c r="A28" s="59" t="s">
        <v>101</v>
      </c>
      <c r="B28" s="4" t="s">
        <v>25</v>
      </c>
      <c r="C28" s="4" t="s">
        <v>40</v>
      </c>
      <c r="D28" s="66">
        <v>2.0500000000000001E-2</v>
      </c>
      <c r="E28" s="24" t="e">
        <f>NA()</f>
        <v>#N/A</v>
      </c>
    </row>
    <row r="29" spans="1:5">
      <c r="A29" s="59" t="s">
        <v>103</v>
      </c>
      <c r="B29" s="4" t="s">
        <v>104</v>
      </c>
      <c r="C29" s="4" t="s">
        <v>39</v>
      </c>
      <c r="D29" s="24">
        <v>1</v>
      </c>
      <c r="E29" s="24" t="e">
        <f>D29*E27</f>
        <v>#N/A</v>
      </c>
    </row>
    <row r="30" spans="1:5">
      <c r="A30" s="59" t="s">
        <v>103</v>
      </c>
      <c r="B30" s="4" t="s">
        <v>35</v>
      </c>
      <c r="C30" s="4" t="s">
        <v>40</v>
      </c>
      <c r="D30" s="24">
        <v>0.6</v>
      </c>
      <c r="E30" s="24" t="e">
        <f>NA()</f>
        <v>#N/A</v>
      </c>
    </row>
    <row r="31" spans="1:5">
      <c r="A31" s="59" t="s">
        <v>103</v>
      </c>
      <c r="B31" s="4" t="s">
        <v>25</v>
      </c>
      <c r="C31" s="4" t="s">
        <v>40</v>
      </c>
      <c r="D31" s="24">
        <v>0.20499999999999999</v>
      </c>
      <c r="E31" s="24" t="e">
        <f>D31*E29</f>
        <v>#N/A</v>
      </c>
    </row>
  </sheetData>
  <autoFilter ref="A1:E1" xr:uid="{00000000-0009-0000-0000-000004000000}"/>
  <conditionalFormatting sqref="A1:XFD2 D2:D19 A3:C4 E3:XFD4 A5 A6:C7 E6:XFD7 A8:XFD12 A13:C15 E13:XFD15 A16:XFD19 A30:C31 E30:XFD31 A32:XFD1048576">
    <cfRule type="expression" dxfId="12" priority="39">
      <formula>NOT(EXACT(INDIRECT("Z"&amp;ROW()-1&amp;"S1",FALSE()), INDIRECT("Z"&amp;ROW()&amp;"S1",FALSE())))</formula>
    </cfRule>
  </conditionalFormatting>
  <conditionalFormatting sqref="B21:C25 C26:D26 B27:C27">
    <cfRule type="expression" dxfId="11" priority="25">
      <formula>NOT(EXACT(INDIRECT("Z"&amp;ROW()-1&amp;"S1",FALSE()), INDIRECT("Z"&amp;ROW()&amp;"S1",FALSE())))</formula>
    </cfRule>
  </conditionalFormatting>
  <conditionalFormatting sqref="B20:E20 A20:A29 D23:E23">
    <cfRule type="expression" dxfId="10" priority="26">
      <formula>NOT(EXACT(INDIRECT("Z"&amp;ROW()-1&amp;"S1",FALSE()), INDIRECT("Z"&amp;ROW()&amp;"S1",FALSE())))</formula>
    </cfRule>
  </conditionalFormatting>
  <conditionalFormatting sqref="C5:XFD5">
    <cfRule type="expression" dxfId="9" priority="4">
      <formula>NOT(EXACT(INDIRECT("Z"&amp;ROW()-1&amp;"S1",FALSE()), INDIRECT("Z"&amp;ROW()&amp;"S1",FALSE())))</formula>
    </cfRule>
  </conditionalFormatting>
  <conditionalFormatting sqref="D6:D7">
    <cfRule type="dataBar" priority="36">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8:D10 D5 E3:E4 E6:E7">
    <cfRule type="dataBar" priority="45">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3 D15">
    <cfRule type="dataBar" priority="34">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
    <cfRule type="dataBar" priority="32">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20">
    <cfRule type="dataBar" priority="28">
      <dataBar>
        <cfvo type="num" val="0"/>
        <cfvo type="num" val="2"/>
        <color rgb="FF638EC6"/>
      </dataBar>
      <extLst>
        <ext xmlns:x14="http://schemas.microsoft.com/office/spreadsheetml/2009/9/main" uri="{B025F937-C7B1-47D3-B67F-A62EFF666E3E}">
          <x14:id>{DF85B3E7-6D24-4702-AB47-0D47F71538F8}</x14:id>
        </ext>
      </extLst>
    </cfRule>
  </conditionalFormatting>
  <conditionalFormatting sqref="D22">
    <cfRule type="dataBar" priority="17">
      <dataBar>
        <cfvo type="num" val="0"/>
        <cfvo type="num" val="2"/>
        <color rgb="FF638EC6"/>
      </dataBar>
      <extLst>
        <ext xmlns:x14="http://schemas.microsoft.com/office/spreadsheetml/2009/9/main" uri="{B025F937-C7B1-47D3-B67F-A62EFF666E3E}">
          <x14:id>{F7E4DC53-D7B5-4205-8087-340EC79B984A}</x14:id>
        </ext>
      </extLst>
    </cfRule>
    <cfRule type="expression" dxfId="8" priority="18">
      <formula>NOT(EXACT(INDIRECT("Z"&amp;ROW()-1&amp;"S1",FALSE()), INDIRECT("Z"&amp;ROW()&amp;"S1",FALSE())))</formula>
    </cfRule>
    <cfRule type="dataBar" priority="19">
      <dataBar>
        <cfvo type="num" val="0"/>
        <cfvo type="num" val="2"/>
        <color rgb="FF638EC6"/>
      </dataBar>
      <extLst>
        <ext xmlns:x14="http://schemas.microsoft.com/office/spreadsheetml/2009/9/main" uri="{B025F937-C7B1-47D3-B67F-A62EFF666E3E}">
          <x14:id>{BD4EE866-58E4-4CE7-814D-6232EE42462C}</x14:id>
        </ext>
      </extLst>
    </cfRule>
  </conditionalFormatting>
  <conditionalFormatting sqref="D23">
    <cfRule type="dataBar" priority="27">
      <dataBar>
        <cfvo type="num" val="0"/>
        <cfvo type="num" val="2"/>
        <color rgb="FF638EC6"/>
      </dataBar>
      <extLst>
        <ext xmlns:x14="http://schemas.microsoft.com/office/spreadsheetml/2009/9/main" uri="{B025F937-C7B1-47D3-B67F-A62EFF666E3E}">
          <x14:id>{638DB081-4439-4940-9AE3-880EB91DD8D4}</x14:id>
        </ext>
      </extLst>
    </cfRule>
  </conditionalFormatting>
  <conditionalFormatting sqref="D25">
    <cfRule type="dataBar" priority="14">
      <dataBar>
        <cfvo type="num" val="0"/>
        <cfvo type="num" val="2"/>
        <color rgb="FF638EC6"/>
      </dataBar>
      <extLst>
        <ext xmlns:x14="http://schemas.microsoft.com/office/spreadsheetml/2009/9/main" uri="{B025F937-C7B1-47D3-B67F-A62EFF666E3E}">
          <x14:id>{4FA8C8CC-9E06-4AAF-9D36-B69E2717DF17}</x14:id>
        </ext>
      </extLst>
    </cfRule>
    <cfRule type="expression" dxfId="7" priority="15">
      <formula>NOT(EXACT(INDIRECT("Z"&amp;ROW()-1&amp;"S1",FALSE()), INDIRECT("Z"&amp;ROW()&amp;"S1",FALSE())))</formula>
    </cfRule>
    <cfRule type="dataBar" priority="16">
      <dataBar>
        <cfvo type="num" val="0"/>
        <cfvo type="num" val="2"/>
        <color rgb="FF638EC6"/>
      </dataBar>
      <extLst>
        <ext xmlns:x14="http://schemas.microsoft.com/office/spreadsheetml/2009/9/main" uri="{B025F937-C7B1-47D3-B67F-A62EFF666E3E}">
          <x14:id>{65B46255-DD72-4D46-B680-EA22FDABDF35}</x14:id>
        </ext>
      </extLst>
    </cfRule>
  </conditionalFormatting>
  <conditionalFormatting sqref="D28">
    <cfRule type="dataBar" priority="11">
      <dataBar>
        <cfvo type="num" val="0"/>
        <cfvo type="num" val="2"/>
        <color rgb="FF638EC6"/>
      </dataBar>
      <extLst>
        <ext xmlns:x14="http://schemas.microsoft.com/office/spreadsheetml/2009/9/main" uri="{B025F937-C7B1-47D3-B67F-A62EFF666E3E}">
          <x14:id>{6B773CE8-FE95-4E79-8BA2-717E6DDC4252}</x14:id>
        </ext>
      </extLst>
    </cfRule>
    <cfRule type="dataBar" priority="13">
      <dataBar>
        <cfvo type="num" val="0"/>
        <cfvo type="num" val="2"/>
        <color rgb="FF638EC6"/>
      </dataBar>
      <extLst>
        <ext xmlns:x14="http://schemas.microsoft.com/office/spreadsheetml/2009/9/main" uri="{B025F937-C7B1-47D3-B67F-A62EFF666E3E}">
          <x14:id>{B2637DB6-30FE-4484-B8A4-D99048727AA5}</x14:id>
        </ext>
      </extLst>
    </cfRule>
  </conditionalFormatting>
  <conditionalFormatting sqref="D29">
    <cfRule type="dataBar" priority="9">
      <dataBar>
        <cfvo type="num" val="0"/>
        <cfvo type="num" val="2"/>
        <color rgb="FF638EC6"/>
      </dataBar>
      <extLst>
        <ext xmlns:x14="http://schemas.microsoft.com/office/spreadsheetml/2009/9/main" uri="{B025F937-C7B1-47D3-B67F-A62EFF666E3E}">
          <x14:id>{05321CB7-284A-4FA6-BF65-78097A8972CB}</x14:id>
        </ext>
      </extLst>
    </cfRule>
  </conditionalFormatting>
  <conditionalFormatting sqref="D29:D31">
    <cfRule type="expression" dxfId="6" priority="7">
      <formula>NOT(EXACT(INDIRECT("Z"&amp;ROW()-1&amp;"S1",FALSE()), INDIRECT("Z"&amp;ROW()&amp;"S1",FALSE())))</formula>
    </cfRule>
    <cfRule type="dataBar" priority="10">
      <dataBar>
        <cfvo type="num" val="0"/>
        <cfvo type="num" val="2"/>
        <color rgb="FF638EC6"/>
      </dataBar>
      <extLst>
        <ext xmlns:x14="http://schemas.microsoft.com/office/spreadsheetml/2009/9/main" uri="{B025F937-C7B1-47D3-B67F-A62EFF666E3E}">
          <x14:id>{28824AAA-F1F2-4A7D-928D-3858A69D3F02}</x14:id>
        </ext>
      </extLst>
    </cfRule>
  </conditionalFormatting>
  <conditionalFormatting sqref="D30:D31">
    <cfRule type="dataBar" priority="8">
      <dataBar>
        <cfvo type="num" val="0"/>
        <cfvo type="num" val="2"/>
        <color rgb="FF638EC6"/>
      </dataBar>
      <extLst>
        <ext xmlns:x14="http://schemas.microsoft.com/office/spreadsheetml/2009/9/main" uri="{B025F937-C7B1-47D3-B67F-A62EFF666E3E}">
          <x14:id>{565012B0-F520-423C-81F4-0556E4C75B40}</x14:id>
        </ext>
      </extLst>
    </cfRule>
  </conditionalFormatting>
  <conditionalFormatting sqref="D2:E2 D2:D19">
    <cfRule type="dataBar" priority="38">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11:E12">
    <cfRule type="dataBar" priority="47">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6:E17">
    <cfRule type="dataBar" priority="41">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40">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D32:E1048576 D1:E1">
    <cfRule type="dataBar" priority="66">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E5">
    <cfRule type="dataBar" priority="5">
      <dataBar>
        <cfvo type="num" val="0"/>
        <cfvo type="num" val="2"/>
        <color rgb="FF638EC6"/>
      </dataBar>
      <extLst>
        <ext xmlns:x14="http://schemas.microsoft.com/office/spreadsheetml/2009/9/main" uri="{B025F937-C7B1-47D3-B67F-A62EFF666E3E}">
          <x14:id>{3721D2A3-FECF-4A8D-8467-880D87B6D2BC}</x14:id>
        </ext>
      </extLst>
    </cfRule>
  </conditionalFormatting>
  <conditionalFormatting sqref="E8:E10">
    <cfRule type="dataBar" priority="44">
      <dataBar>
        <cfvo type="num" val="0"/>
        <cfvo type="num" val="2"/>
        <color rgb="FF638EC6"/>
      </dataBar>
      <extLst>
        <ext xmlns:x14="http://schemas.microsoft.com/office/spreadsheetml/2009/9/main" uri="{B025F937-C7B1-47D3-B67F-A62EFF666E3E}">
          <x14:id>{98CA02A6-D84B-4B8F-8EE0-BCA3C3E37146}</x14:id>
        </ext>
      </extLst>
    </cfRule>
  </conditionalFormatting>
  <conditionalFormatting sqref="E13:E15">
    <cfRule type="dataBar" priority="42">
      <dataBar>
        <cfvo type="num" val="0"/>
        <cfvo type="num" val="2"/>
        <color rgb="FF638EC6"/>
      </dataBar>
      <extLst>
        <ext xmlns:x14="http://schemas.microsoft.com/office/spreadsheetml/2009/9/main" uri="{B025F937-C7B1-47D3-B67F-A62EFF666E3E}">
          <x14:id>{2349AB90-2466-4CCB-9A09-AFC1C523F64F}</x14:id>
        </ext>
      </extLst>
    </cfRule>
  </conditionalFormatting>
  <conditionalFormatting sqref="E20:E22">
    <cfRule type="dataBar" priority="31">
      <dataBar>
        <cfvo type="num" val="0"/>
        <cfvo type="num" val="2"/>
        <color rgb="FF638EC6"/>
      </dataBar>
      <extLst>
        <ext xmlns:x14="http://schemas.microsoft.com/office/spreadsheetml/2009/9/main" uri="{B025F937-C7B1-47D3-B67F-A62EFF666E3E}">
          <x14:id>{990B53AC-61DA-4898-8173-FDAF9356A9A3}</x14:id>
        </ext>
      </extLst>
    </cfRule>
  </conditionalFormatting>
  <conditionalFormatting sqref="E21:E22">
    <cfRule type="expression" dxfId="5" priority="24">
      <formula>NOT(EXACT(INDIRECT("Z"&amp;ROW()-1&amp;"S1",FALSE()), INDIRECT("Z"&amp;ROW()&amp;"S1",FALSE())))</formula>
    </cfRule>
  </conditionalFormatting>
  <conditionalFormatting sqref="E23:E24">
    <cfRule type="dataBar" priority="30">
      <dataBar>
        <cfvo type="num" val="0"/>
        <cfvo type="num" val="2"/>
        <color rgb="FF638EC6"/>
      </dataBar>
      <extLst>
        <ext xmlns:x14="http://schemas.microsoft.com/office/spreadsheetml/2009/9/main" uri="{B025F937-C7B1-47D3-B67F-A62EFF666E3E}">
          <x14:id>{E24EC235-1C22-47A2-9E45-98978623B831}</x14:id>
        </ext>
      </extLst>
    </cfRule>
  </conditionalFormatting>
  <conditionalFormatting sqref="E24:E29">
    <cfRule type="expression" dxfId="4" priority="1">
      <formula>NOT(EXACT(INDIRECT("Z"&amp;ROW()-1&amp;"S1",FALSE()), INDIRECT("Z"&amp;ROW()&amp;"S1",FALSE())))</formula>
    </cfRule>
  </conditionalFormatting>
  <conditionalFormatting sqref="E25:E26">
    <cfRule type="dataBar" priority="23">
      <dataBar>
        <cfvo type="num" val="0"/>
        <cfvo type="num" val="2"/>
        <color rgb="FF638EC6"/>
      </dataBar>
      <extLst>
        <ext xmlns:x14="http://schemas.microsoft.com/office/spreadsheetml/2009/9/main" uri="{B025F937-C7B1-47D3-B67F-A62EFF666E3E}">
          <x14:id>{416DB728-3CDE-4A4A-A59B-4A22B9276A40}</x14:id>
        </ext>
      </extLst>
    </cfRule>
  </conditionalFormatting>
  <conditionalFormatting sqref="E27 D26">
    <cfRule type="dataBar" priority="29">
      <dataBar>
        <cfvo type="num" val="0"/>
        <cfvo type="num" val="2"/>
        <color rgb="FF638EC6"/>
      </dataBar>
      <extLst>
        <ext xmlns:x14="http://schemas.microsoft.com/office/spreadsheetml/2009/9/main" uri="{B025F937-C7B1-47D3-B67F-A62EFF666E3E}">
          <x14:id>{69715B00-4721-4DC7-BD2B-D23473816C64}</x14:id>
        </ext>
      </extLst>
    </cfRule>
  </conditionalFormatting>
  <conditionalFormatting sqref="E28">
    <cfRule type="dataBar" priority="21">
      <dataBar>
        <cfvo type="num" val="0"/>
        <cfvo type="num" val="2"/>
        <color rgb="FF638EC6"/>
      </dataBar>
      <extLst>
        <ext xmlns:x14="http://schemas.microsoft.com/office/spreadsheetml/2009/9/main" uri="{B025F937-C7B1-47D3-B67F-A62EFF666E3E}">
          <x14:id>{A7C290DA-E617-4412-A5C5-3335857A068B}</x14:id>
        </ext>
      </extLst>
    </cfRule>
  </conditionalFormatting>
  <conditionalFormatting sqref="E29">
    <cfRule type="dataBar" priority="2">
      <dataBar>
        <cfvo type="num" val="0"/>
        <cfvo type="num" val="2"/>
        <color rgb="FF638EC6"/>
      </dataBar>
      <extLst>
        <ext xmlns:x14="http://schemas.microsoft.com/office/spreadsheetml/2009/9/main" uri="{B025F937-C7B1-47D3-B67F-A62EFF666E3E}">
          <x14:id>{2C9C93EA-BC71-4CDD-B218-F0139631B6A8}</x14:id>
        </ext>
      </extLst>
    </cfRule>
  </conditionalFormatting>
  <conditionalFormatting sqref="E30:E31">
    <cfRule type="dataBar" priority="3">
      <dataBar>
        <cfvo type="num" val="0"/>
        <cfvo type="num" val="2"/>
        <color rgb="FF638EC6"/>
      </dataBar>
      <extLst>
        <ext xmlns:x14="http://schemas.microsoft.com/office/spreadsheetml/2009/9/main" uri="{B025F937-C7B1-47D3-B67F-A62EFF666E3E}">
          <x14:id>{E4A87931-967F-4664-A132-1A1346D2C7A5}</x14:id>
        </ext>
      </extLst>
    </cfRule>
  </conditionalFormatting>
  <conditionalFormatting sqref="F20:XFD29 B28:D29">
    <cfRule type="expression" dxfId="3" priority="6">
      <formula>NOT(EXACT(INDIRECT("Z"&amp;ROW()-1&amp;"S1",FALSE()), INDIRECT("Z"&amp;ROW()&amp;"S1",FALSE())))</formula>
    </cfRule>
  </conditionalFormatting>
  <dataValidations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D8:D10 D5 E3:E4 E6:E7</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 D15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xm:sqref>
        </x14:conditionalFormatting>
        <x14:conditionalFormatting xmlns:xm="http://schemas.microsoft.com/office/excel/2006/main">
          <x14:cfRule type="dataBar" id="{DF85B3E7-6D24-4702-AB47-0D47F71538F8}">
            <x14:dataBar minLength="0" maxLength="100" gradient="0">
              <x14:cfvo type="num">
                <xm:f>0</xm:f>
              </x14:cfvo>
              <x14:cfvo type="num">
                <xm:f>2</xm:f>
              </x14:cfvo>
              <x14:negativeFillColor rgb="FFFF0000"/>
              <x14:axisColor rgb="FF000000"/>
            </x14:dataBar>
          </x14:cfRule>
          <xm:sqref>D20</xm:sqref>
        </x14:conditionalFormatting>
        <x14:conditionalFormatting xmlns:xm="http://schemas.microsoft.com/office/excel/2006/main">
          <x14:cfRule type="dataBar" id="{F7E4DC53-D7B5-4205-8087-340EC79B984A}">
            <x14:dataBar minLength="0" maxLength="100" gradient="0">
              <x14:cfvo type="num">
                <xm:f>0</xm:f>
              </x14:cfvo>
              <x14:cfvo type="num">
                <xm:f>2</xm:f>
              </x14:cfvo>
              <x14:negativeFillColor rgb="FFFF0000"/>
              <x14:axisColor rgb="FF000000"/>
            </x14:dataBar>
          </x14:cfRule>
          <x14:cfRule type="dataBar" id="{BD4EE866-58E4-4CE7-814D-6232EE42462C}">
            <x14:dataBar minLength="0" maxLength="100" gradient="0">
              <x14:cfvo type="num">
                <xm:f>0</xm:f>
              </x14:cfvo>
              <x14:cfvo type="num">
                <xm:f>2</xm:f>
              </x14:cfvo>
              <x14:negativeFillColor rgb="FFFF0000"/>
              <x14:axisColor rgb="FF000000"/>
            </x14:dataBar>
          </x14:cfRule>
          <xm:sqref>D22</xm:sqref>
        </x14:conditionalFormatting>
        <x14:conditionalFormatting xmlns:xm="http://schemas.microsoft.com/office/excel/2006/main">
          <x14:cfRule type="dataBar" id="{638DB081-4439-4940-9AE3-880EB91DD8D4}">
            <x14:dataBar minLength="0" maxLength="100" gradient="0">
              <x14:cfvo type="num">
                <xm:f>0</xm:f>
              </x14:cfvo>
              <x14:cfvo type="num">
                <xm:f>2</xm:f>
              </x14:cfvo>
              <x14:negativeFillColor rgb="FFFF0000"/>
              <x14:axisColor rgb="FF000000"/>
            </x14:dataBar>
          </x14:cfRule>
          <xm:sqref>D23</xm:sqref>
        </x14:conditionalFormatting>
        <x14:conditionalFormatting xmlns:xm="http://schemas.microsoft.com/office/excel/2006/main">
          <x14:cfRule type="dataBar" id="{4FA8C8CC-9E06-4AAF-9D36-B69E2717DF17}">
            <x14:dataBar minLength="0" maxLength="100" gradient="0">
              <x14:cfvo type="num">
                <xm:f>0</xm:f>
              </x14:cfvo>
              <x14:cfvo type="num">
                <xm:f>2</xm:f>
              </x14:cfvo>
              <x14:negativeFillColor rgb="FFFF0000"/>
              <x14:axisColor rgb="FF000000"/>
            </x14:dataBar>
          </x14:cfRule>
          <x14:cfRule type="dataBar" id="{65B46255-DD72-4D46-B680-EA22FDABDF35}">
            <x14:dataBar minLength="0" maxLength="100" gradient="0">
              <x14:cfvo type="num">
                <xm:f>0</xm:f>
              </x14:cfvo>
              <x14:cfvo type="num">
                <xm:f>2</xm:f>
              </x14:cfvo>
              <x14:negativeFillColor rgb="FFFF0000"/>
              <x14:axisColor rgb="FF000000"/>
            </x14:dataBar>
          </x14:cfRule>
          <xm:sqref>D25</xm:sqref>
        </x14:conditionalFormatting>
        <x14:conditionalFormatting xmlns:xm="http://schemas.microsoft.com/office/excel/2006/main">
          <x14:cfRule type="dataBar" id="{6B773CE8-FE95-4E79-8BA2-717E6DDC4252}">
            <x14:dataBar minLength="0" maxLength="100" gradient="0">
              <x14:cfvo type="num">
                <xm:f>0</xm:f>
              </x14:cfvo>
              <x14:cfvo type="num">
                <xm:f>2</xm:f>
              </x14:cfvo>
              <x14:negativeFillColor rgb="FFFF0000"/>
              <x14:axisColor rgb="FF000000"/>
            </x14:dataBar>
          </x14:cfRule>
          <x14:cfRule type="dataBar" id="{B2637DB6-30FE-4484-B8A4-D99048727AA5}">
            <x14:dataBar minLength="0" maxLength="100" gradient="0">
              <x14:cfvo type="num">
                <xm:f>0</xm:f>
              </x14:cfvo>
              <x14:cfvo type="num">
                <xm:f>2</xm:f>
              </x14:cfvo>
              <x14:negativeFillColor rgb="FFFF0000"/>
              <x14:axisColor rgb="FF000000"/>
            </x14:dataBar>
          </x14:cfRule>
          <xm:sqref>D28</xm:sqref>
        </x14:conditionalFormatting>
        <x14:conditionalFormatting xmlns:xm="http://schemas.microsoft.com/office/excel/2006/main">
          <x14:cfRule type="dataBar" id="{05321CB7-284A-4FA6-BF65-78097A8972CB}">
            <x14:dataBar minLength="0" maxLength="100" gradient="0">
              <x14:cfvo type="num">
                <xm:f>0</xm:f>
              </x14:cfvo>
              <x14:cfvo type="num">
                <xm:f>2</xm:f>
              </x14:cfvo>
              <x14:negativeFillColor rgb="FFFF0000"/>
              <x14:axisColor rgb="FF000000"/>
            </x14:dataBar>
          </x14:cfRule>
          <xm:sqref>D29</xm:sqref>
        </x14:conditionalFormatting>
        <x14:conditionalFormatting xmlns:xm="http://schemas.microsoft.com/office/excel/2006/main">
          <x14:cfRule type="dataBar" id="{28824AAA-F1F2-4A7D-928D-3858A69D3F02}">
            <x14:dataBar minLength="0" maxLength="100" gradient="0">
              <x14:cfvo type="num">
                <xm:f>0</xm:f>
              </x14:cfvo>
              <x14:cfvo type="num">
                <xm:f>2</xm:f>
              </x14:cfvo>
              <x14:negativeFillColor rgb="FFFF0000"/>
              <x14:axisColor rgb="FF000000"/>
            </x14:dataBar>
          </x14:cfRule>
          <xm:sqref>D29:D31</xm:sqref>
        </x14:conditionalFormatting>
        <x14:conditionalFormatting xmlns:xm="http://schemas.microsoft.com/office/excel/2006/main">
          <x14:cfRule type="dataBar" id="{565012B0-F520-423C-81F4-0556E4C75B40}">
            <x14:dataBar minLength="0" maxLength="100" gradient="0">
              <x14:cfvo type="num">
                <xm:f>0</xm:f>
              </x14:cfvo>
              <x14:cfvo type="num">
                <xm:f>2</xm:f>
              </x14:cfvo>
              <x14:negativeFillColor rgb="FFFF0000"/>
              <x14:axisColor rgb="FF000000"/>
            </x14:dataBar>
          </x14:cfRule>
          <xm:sqref>D30:D31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D2:E2 D2:D19</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D32:E1048576 D1:E1</xm:sqref>
        </x14:conditionalFormatting>
        <x14:conditionalFormatting xmlns:xm="http://schemas.microsoft.com/office/excel/2006/main">
          <x14:cfRule type="dataBar" id="{3721D2A3-FECF-4A8D-8467-880D87B6D2BC}">
            <x14:dataBar minLength="0" maxLength="100" gradient="0">
              <x14:cfvo type="num">
                <xm:f>0</xm:f>
              </x14:cfvo>
              <x14:cfvo type="num">
                <xm:f>2</xm:f>
              </x14:cfvo>
              <x14:negativeFillColor rgb="FFFF0000"/>
              <x14:axisColor rgb="FF000000"/>
            </x14:dataBar>
          </x14:cfRule>
          <xm:sqref>E5</xm:sqref>
        </x14:conditionalFormatting>
        <x14:conditionalFormatting xmlns:xm="http://schemas.microsoft.com/office/excel/2006/main">
          <x14:cfRule type="dataBar" id="{98CA02A6-D84B-4B8F-8EE0-BCA3C3E37146}">
            <x14:dataBar minLength="0" maxLength="100" gradient="0">
              <x14:cfvo type="num">
                <xm:f>0</xm:f>
              </x14:cfvo>
              <x14:cfvo type="num">
                <xm:f>2</xm:f>
              </x14:cfvo>
              <x14:negativeFillColor rgb="FFFF0000"/>
              <x14:axisColor rgb="FF000000"/>
            </x14:dataBar>
          </x14:cfRule>
          <xm:sqref>E8:E10</xm:sqref>
        </x14:conditionalFormatting>
        <x14:conditionalFormatting xmlns:xm="http://schemas.microsoft.com/office/excel/2006/main">
          <x14:cfRule type="dataBar" id="{2349AB90-2466-4CCB-9A09-AFC1C523F64F}">
            <x14:dataBar minLength="0" maxLength="100" gradient="0">
              <x14:cfvo type="num">
                <xm:f>0</xm:f>
              </x14:cfvo>
              <x14:cfvo type="num">
                <xm:f>2</xm:f>
              </x14:cfvo>
              <x14:negativeFillColor rgb="FFFF0000"/>
              <x14:axisColor rgb="FF000000"/>
            </x14:dataBar>
          </x14:cfRule>
          <xm:sqref>E13:E15</xm:sqref>
        </x14:conditionalFormatting>
        <x14:conditionalFormatting xmlns:xm="http://schemas.microsoft.com/office/excel/2006/main">
          <x14:cfRule type="dataBar" id="{990B53AC-61DA-4898-8173-FDAF9356A9A3}">
            <x14:dataBar minLength="0" maxLength="100" gradient="0">
              <x14:cfvo type="num">
                <xm:f>0</xm:f>
              </x14:cfvo>
              <x14:cfvo type="num">
                <xm:f>2</xm:f>
              </x14:cfvo>
              <x14:negativeFillColor rgb="FFFF0000"/>
              <x14:axisColor rgb="FF000000"/>
            </x14:dataBar>
          </x14:cfRule>
          <xm:sqref>E20:E22</xm:sqref>
        </x14:conditionalFormatting>
        <x14:conditionalFormatting xmlns:xm="http://schemas.microsoft.com/office/excel/2006/main">
          <x14:cfRule type="dataBar" id="{E24EC235-1C22-47A2-9E45-98978623B831}">
            <x14:dataBar minLength="0" maxLength="100" gradient="0">
              <x14:cfvo type="num">
                <xm:f>0</xm:f>
              </x14:cfvo>
              <x14:cfvo type="num">
                <xm:f>2</xm:f>
              </x14:cfvo>
              <x14:negativeFillColor rgb="FFFF0000"/>
              <x14:axisColor rgb="FF000000"/>
            </x14:dataBar>
          </x14:cfRule>
          <xm:sqref>E23:E24</xm:sqref>
        </x14:conditionalFormatting>
        <x14:conditionalFormatting xmlns:xm="http://schemas.microsoft.com/office/excel/2006/main">
          <x14:cfRule type="dataBar" id="{416DB728-3CDE-4A4A-A59B-4A22B9276A40}">
            <x14:dataBar minLength="0" maxLength="100" gradient="0">
              <x14:cfvo type="num">
                <xm:f>0</xm:f>
              </x14:cfvo>
              <x14:cfvo type="num">
                <xm:f>2</xm:f>
              </x14:cfvo>
              <x14:negativeFillColor rgb="FFFF0000"/>
              <x14:axisColor rgb="FF000000"/>
            </x14:dataBar>
          </x14:cfRule>
          <xm:sqref>E25:E26</xm:sqref>
        </x14:conditionalFormatting>
        <x14:conditionalFormatting xmlns:xm="http://schemas.microsoft.com/office/excel/2006/main">
          <x14:cfRule type="dataBar" id="{69715B00-4721-4DC7-BD2B-D23473816C64}">
            <x14:dataBar minLength="0" maxLength="100" gradient="0">
              <x14:cfvo type="num">
                <xm:f>0</xm:f>
              </x14:cfvo>
              <x14:cfvo type="num">
                <xm:f>2</xm:f>
              </x14:cfvo>
              <x14:negativeFillColor rgb="FFFF0000"/>
              <x14:axisColor rgb="FF000000"/>
            </x14:dataBar>
          </x14:cfRule>
          <xm:sqref>E27 D26</xm:sqref>
        </x14:conditionalFormatting>
        <x14:conditionalFormatting xmlns:xm="http://schemas.microsoft.com/office/excel/2006/main">
          <x14:cfRule type="dataBar" id="{A7C290DA-E617-4412-A5C5-3335857A068B}">
            <x14:dataBar minLength="0" maxLength="100" gradient="0">
              <x14:cfvo type="num">
                <xm:f>0</xm:f>
              </x14:cfvo>
              <x14:cfvo type="num">
                <xm:f>2</xm:f>
              </x14:cfvo>
              <x14:negativeFillColor rgb="FFFF0000"/>
              <x14:axisColor rgb="FF000000"/>
            </x14:dataBar>
          </x14:cfRule>
          <xm:sqref>E28</xm:sqref>
        </x14:conditionalFormatting>
        <x14:conditionalFormatting xmlns:xm="http://schemas.microsoft.com/office/excel/2006/main">
          <x14:cfRule type="dataBar" id="{2C9C93EA-BC71-4CDD-B218-F0139631B6A8}">
            <x14:dataBar minLength="0" maxLength="100" gradient="0">
              <x14:cfvo type="num">
                <xm:f>0</xm:f>
              </x14:cfvo>
              <x14:cfvo type="num">
                <xm:f>2</xm:f>
              </x14:cfvo>
              <x14:negativeFillColor rgb="FFFF0000"/>
              <x14:axisColor rgb="FF000000"/>
            </x14:dataBar>
          </x14:cfRule>
          <xm:sqref>E29</xm:sqref>
        </x14:conditionalFormatting>
        <x14:conditionalFormatting xmlns:xm="http://schemas.microsoft.com/office/excel/2006/main">
          <x14:cfRule type="dataBar" id="{E4A87931-967F-4664-A132-1A1346D2C7A5}">
            <x14:dataBar minLength="0" maxLength="100" gradient="0">
              <x14:cfvo type="num">
                <xm:f>0</xm:f>
              </x14:cfvo>
              <x14:cfvo type="num">
                <xm:f>2</xm:f>
              </x14:cfvo>
              <x14:negativeFillColor rgb="FFFF0000"/>
              <x14:axisColor rgb="FF000000"/>
            </x14:dataBar>
          </x14:cfRule>
          <xm:sqref>E30:E31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1" customWidth="1"/>
    <col min="7" max="7" width="11.6640625" style="20" bestFit="1" customWidth="1"/>
    <col min="8" max="8" width="10.6640625" style="20" customWidth="1"/>
    <col min="9" max="9" width="10.6640625" style="23" customWidth="1"/>
    <col min="10" max="13" width="10.6640625" style="20" customWidth="1"/>
    <col min="14" max="14" width="14.88671875" style="23"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8" t="s">
        <v>11</v>
      </c>
      <c r="F1" s="18" t="s">
        <v>73</v>
      </c>
      <c r="G1" s="17" t="s">
        <v>12</v>
      </c>
      <c r="H1" s="17" t="s">
        <v>13</v>
      </c>
      <c r="I1" s="16" t="s">
        <v>14</v>
      </c>
      <c r="J1" s="17" t="s">
        <v>8</v>
      </c>
      <c r="K1" s="17" t="s">
        <v>9</v>
      </c>
      <c r="L1" s="17" t="s">
        <v>10</v>
      </c>
      <c r="M1" s="16" t="s">
        <v>15</v>
      </c>
      <c r="N1" s="16" t="s">
        <v>16</v>
      </c>
      <c r="O1" s="16" t="s">
        <v>76</v>
      </c>
      <c r="P1" s="16" t="s">
        <v>77</v>
      </c>
      <c r="Q1" s="16"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3" customWidth="1"/>
    <col min="2" max="2" width="13.109375" style="3" customWidth="1"/>
    <col min="3" max="3" width="13.5546875" style="3" bestFit="1" customWidth="1"/>
    <col min="4" max="4" width="12.109375" style="20" bestFit="1" customWidth="1"/>
    <col min="5" max="5" width="10.5546875" style="20" bestFit="1" customWidth="1"/>
    <col min="6" max="6" width="11.109375" style="20" bestFit="1" customWidth="1"/>
    <col min="7" max="7" width="12.44140625" style="20" bestFit="1" customWidth="1"/>
    <col min="8" max="8" width="10.88671875" style="20" bestFit="1" customWidth="1"/>
    <col min="9" max="9" width="11.44140625" style="20" bestFit="1" customWidth="1"/>
    <col min="10" max="11" width="10.6640625" style="23" customWidth="1"/>
    <col min="12" max="12" width="12.44140625" style="20" bestFit="1" customWidth="1"/>
    <col min="13" max="13" width="12.109375" style="23" bestFit="1" customWidth="1"/>
    <col min="14" max="14" width="12" style="20" bestFit="1" customWidth="1"/>
    <col min="15" max="15" width="11.6640625" style="23" bestFit="1" customWidth="1"/>
    <col min="16" max="16" width="12.44140625" style="23" bestFit="1" customWidth="1"/>
    <col min="17" max="19" width="12.109375" style="23" customWidth="1"/>
    <col min="20" max="20" width="14.88671875" style="23" bestFit="1" customWidth="1"/>
    <col min="21" max="21" width="10.6640625" style="23" customWidth="1"/>
    <col min="22" max="22" width="12.109375" style="23" bestFit="1" customWidth="1"/>
    <col min="23" max="16384" width="11.44140625" style="3"/>
  </cols>
  <sheetData>
    <row r="1" spans="1:23">
      <c r="A1" s="3" t="s">
        <v>43</v>
      </c>
      <c r="B1" s="3" t="s">
        <v>44</v>
      </c>
      <c r="C1" s="3" t="s">
        <v>38</v>
      </c>
      <c r="D1" s="17" t="s">
        <v>17</v>
      </c>
      <c r="E1" s="17" t="s">
        <v>19</v>
      </c>
      <c r="F1" s="17" t="s">
        <v>21</v>
      </c>
      <c r="G1" s="17" t="s">
        <v>18</v>
      </c>
      <c r="H1" s="17" t="s">
        <v>20</v>
      </c>
      <c r="I1" s="17" t="s">
        <v>22</v>
      </c>
      <c r="J1" s="16" t="s">
        <v>23</v>
      </c>
      <c r="K1" s="16" t="s">
        <v>24</v>
      </c>
      <c r="L1" s="17" t="s">
        <v>29</v>
      </c>
      <c r="M1" s="16" t="s">
        <v>28</v>
      </c>
      <c r="N1" s="17" t="s">
        <v>30</v>
      </c>
      <c r="O1" s="16" t="s">
        <v>31</v>
      </c>
      <c r="P1" s="16" t="s">
        <v>32</v>
      </c>
      <c r="Q1" s="16" t="s">
        <v>33</v>
      </c>
      <c r="R1" s="16" t="s">
        <v>73</v>
      </c>
      <c r="S1" s="16" t="s">
        <v>15</v>
      </c>
      <c r="T1" s="16" t="s">
        <v>16</v>
      </c>
      <c r="U1" s="16" t="s">
        <v>34</v>
      </c>
      <c r="V1" s="16" t="s">
        <v>58</v>
      </c>
      <c r="W1" s="36" t="s">
        <v>64</v>
      </c>
    </row>
    <row r="2" spans="1:23">
      <c r="A2" s="3" t="s">
        <v>94</v>
      </c>
      <c r="B2" s="41" t="s">
        <v>81</v>
      </c>
      <c r="C2" s="41" t="s">
        <v>35</v>
      </c>
      <c r="D2" s="39">
        <v>0</v>
      </c>
      <c r="E2" s="39">
        <v>0</v>
      </c>
      <c r="F2" s="39" t="s">
        <v>27</v>
      </c>
      <c r="G2" s="39">
        <v>0</v>
      </c>
      <c r="H2" s="39">
        <v>0</v>
      </c>
      <c r="I2" s="39" t="s">
        <v>27</v>
      </c>
      <c r="J2" s="44">
        <v>0.66</v>
      </c>
      <c r="K2" s="43">
        <v>0.3</v>
      </c>
      <c r="L2" s="44">
        <v>565000</v>
      </c>
      <c r="M2" s="25">
        <v>0</v>
      </c>
      <c r="N2" s="44">
        <v>12000</v>
      </c>
      <c r="O2" s="25">
        <v>0</v>
      </c>
      <c r="P2" s="25">
        <v>0</v>
      </c>
      <c r="Q2" s="25">
        <v>0</v>
      </c>
      <c r="R2" s="25">
        <v>0</v>
      </c>
      <c r="S2" s="42">
        <v>7.0999999999999994E-2</v>
      </c>
      <c r="T2" s="44">
        <v>25</v>
      </c>
      <c r="U2" s="25">
        <v>0.5</v>
      </c>
      <c r="V2" s="40">
        <v>3.4999999999999999E-6</v>
      </c>
      <c r="W2" s="25"/>
    </row>
    <row r="3" spans="1:23">
      <c r="A3" s="3" t="s">
        <v>94</v>
      </c>
      <c r="B3" s="41" t="s">
        <v>82</v>
      </c>
      <c r="C3" s="41" t="s">
        <v>35</v>
      </c>
      <c r="D3" s="39">
        <v>0</v>
      </c>
      <c r="E3" s="39">
        <v>0</v>
      </c>
      <c r="F3" s="39" t="s">
        <v>27</v>
      </c>
      <c r="G3" s="39">
        <v>0</v>
      </c>
      <c r="H3" s="39">
        <v>0</v>
      </c>
      <c r="I3" s="39" t="s">
        <v>27</v>
      </c>
      <c r="J3" s="45">
        <v>0.9</v>
      </c>
      <c r="K3" s="45">
        <v>0.9</v>
      </c>
      <c r="L3" s="44">
        <v>4412341</v>
      </c>
      <c r="M3" s="44">
        <v>0</v>
      </c>
      <c r="N3" s="44">
        <v>34383</v>
      </c>
      <c r="O3" s="44">
        <f>0.05*M3</f>
        <v>0</v>
      </c>
      <c r="P3" s="44">
        <v>8.1999999999999993</v>
      </c>
      <c r="Q3" s="25">
        <v>0</v>
      </c>
      <c r="R3" s="25">
        <v>0</v>
      </c>
      <c r="S3" s="42">
        <v>7.0999999999999994E-2</v>
      </c>
      <c r="T3" s="44">
        <v>25</v>
      </c>
      <c r="U3" s="25">
        <v>0.5</v>
      </c>
      <c r="V3" s="46">
        <v>0</v>
      </c>
      <c r="W3" s="25"/>
    </row>
    <row r="4" spans="1:23">
      <c r="A4" s="3" t="s">
        <v>94</v>
      </c>
      <c r="B4" s="47" t="s">
        <v>83</v>
      </c>
      <c r="C4" s="41" t="s">
        <v>35</v>
      </c>
      <c r="D4" s="39">
        <v>0</v>
      </c>
      <c r="E4" s="39">
        <v>0</v>
      </c>
      <c r="F4" s="39" t="s">
        <v>27</v>
      </c>
      <c r="G4" s="39">
        <v>0</v>
      </c>
      <c r="H4" s="39">
        <v>0</v>
      </c>
      <c r="I4" s="39" t="s">
        <v>27</v>
      </c>
      <c r="J4" s="48">
        <v>0.86</v>
      </c>
      <c r="K4" s="48">
        <v>0.86</v>
      </c>
      <c r="L4" s="44">
        <v>0</v>
      </c>
      <c r="M4" s="44">
        <v>520000</v>
      </c>
      <c r="N4" s="44">
        <v>0</v>
      </c>
      <c r="O4" s="44">
        <v>5000</v>
      </c>
      <c r="P4" s="44">
        <v>0.4</v>
      </c>
      <c r="Q4" s="25">
        <v>0</v>
      </c>
      <c r="R4" s="25">
        <v>0</v>
      </c>
      <c r="S4" s="42">
        <v>7.0999999999999994E-2</v>
      </c>
      <c r="T4" s="48">
        <v>15</v>
      </c>
      <c r="U4" s="25">
        <v>0.5</v>
      </c>
      <c r="V4" s="25">
        <v>0</v>
      </c>
      <c r="W4" s="25"/>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5" bestFit="1" customWidth="1"/>
    <col min="5" max="5" width="8.44140625" bestFit="1" customWidth="1"/>
    <col min="6" max="7" width="14" bestFit="1" customWidth="1"/>
  </cols>
  <sheetData>
    <row r="1" spans="1:7">
      <c r="A1" s="3" t="s">
        <v>43</v>
      </c>
      <c r="B1" s="3" t="s">
        <v>38</v>
      </c>
      <c r="C1" s="17" t="s">
        <v>50</v>
      </c>
      <c r="D1" s="34" t="s">
        <v>11</v>
      </c>
      <c r="E1" s="17" t="s">
        <v>51</v>
      </c>
      <c r="F1" s="17" t="s">
        <v>52</v>
      </c>
      <c r="G1" s="17"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A14" sqref="A1:B14"/>
    </sheetView>
  </sheetViews>
  <sheetFormatPr baseColWidth="10" defaultColWidth="11.44140625" defaultRowHeight="14.4"/>
  <cols>
    <col min="1" max="1" width="11.44140625" style="2"/>
    <col min="2" max="2" width="12.6640625" style="2" bestFit="1" customWidth="1"/>
    <col min="3" max="16384" width="11.44140625" style="2"/>
  </cols>
  <sheetData>
    <row r="1" spans="1:2">
      <c r="A1" s="13" t="s">
        <v>0</v>
      </c>
      <c r="B1" s="6" t="s">
        <v>95</v>
      </c>
    </row>
    <row r="2" spans="1:2">
      <c r="A2" s="5">
        <v>0</v>
      </c>
      <c r="B2" s="26">
        <v>0</v>
      </c>
    </row>
    <row r="3" spans="1:2">
      <c r="A3" s="5">
        <v>1</v>
      </c>
      <c r="B3">
        <v>209666667</v>
      </c>
    </row>
    <row r="4" spans="1:2">
      <c r="A4" s="5">
        <v>2</v>
      </c>
      <c r="B4">
        <v>209666667</v>
      </c>
    </row>
    <row r="5" spans="1:2">
      <c r="A5" s="5">
        <v>3</v>
      </c>
      <c r="B5">
        <v>209666667</v>
      </c>
    </row>
    <row r="6" spans="1:2">
      <c r="A6" s="5">
        <v>4</v>
      </c>
      <c r="B6">
        <v>209666667</v>
      </c>
    </row>
    <row r="7" spans="1:2">
      <c r="A7" s="5">
        <v>5</v>
      </c>
      <c r="B7">
        <v>209666667</v>
      </c>
    </row>
    <row r="8" spans="1:2">
      <c r="A8" s="5">
        <v>6</v>
      </c>
      <c r="B8">
        <v>209666667</v>
      </c>
    </row>
    <row r="9" spans="1:2">
      <c r="A9" s="5">
        <v>7</v>
      </c>
      <c r="B9">
        <v>209666667</v>
      </c>
    </row>
    <row r="10" spans="1:2">
      <c r="A10" s="5">
        <v>8</v>
      </c>
      <c r="B10">
        <v>209666667</v>
      </c>
    </row>
    <row r="11" spans="1:2">
      <c r="A11" s="5">
        <v>9</v>
      </c>
      <c r="B11">
        <v>209666667</v>
      </c>
    </row>
    <row r="12" spans="1:2">
      <c r="A12" s="5">
        <v>10</v>
      </c>
      <c r="B12">
        <v>209666667</v>
      </c>
    </row>
    <row r="13" spans="1:2">
      <c r="A13" s="5">
        <v>11</v>
      </c>
      <c r="B13">
        <v>209666667</v>
      </c>
    </row>
    <row r="14" spans="1:2">
      <c r="A14" s="5">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activeCell="H27" sqref="H27"/>
    </sheetView>
  </sheetViews>
  <sheetFormatPr baseColWidth="10" defaultColWidth="11.44140625" defaultRowHeight="14.4"/>
  <cols>
    <col min="1" max="16384" width="11.44140625" style="2"/>
  </cols>
  <sheetData>
    <row r="1" spans="1:2" s="15" customFormat="1">
      <c r="A1" s="13" t="s">
        <v>0</v>
      </c>
      <c r="B1" s="14" t="s">
        <v>96</v>
      </c>
    </row>
    <row r="2" spans="1:2">
      <c r="A2" s="5">
        <v>0</v>
      </c>
      <c r="B2" s="27">
        <v>0</v>
      </c>
    </row>
    <row r="3" spans="1:2">
      <c r="A3" s="5">
        <v>1</v>
      </c>
      <c r="B3" s="60">
        <v>0.20699999999999999</v>
      </c>
    </row>
    <row r="4" spans="1:2">
      <c r="A4" s="5">
        <v>2</v>
      </c>
      <c r="B4" s="60">
        <v>0.20699999999999999</v>
      </c>
    </row>
    <row r="5" spans="1:2">
      <c r="A5" s="5">
        <v>3</v>
      </c>
      <c r="B5" s="60">
        <v>0.20699999999999999</v>
      </c>
    </row>
    <row r="6" spans="1:2">
      <c r="A6" s="5">
        <v>4</v>
      </c>
      <c r="B6" s="60">
        <v>0.20699999999999999</v>
      </c>
    </row>
    <row r="7" spans="1:2">
      <c r="A7" s="5">
        <v>5</v>
      </c>
      <c r="B7" s="60">
        <v>0.20699999999999999</v>
      </c>
    </row>
    <row r="8" spans="1:2">
      <c r="A8" s="5">
        <v>6</v>
      </c>
      <c r="B8" s="60">
        <v>0.20699999999999999</v>
      </c>
    </row>
    <row r="9" spans="1:2">
      <c r="A9" s="5">
        <v>7</v>
      </c>
      <c r="B9" s="60">
        <v>0.20699999999999999</v>
      </c>
    </row>
    <row r="10" spans="1:2">
      <c r="A10" s="5">
        <v>8</v>
      </c>
      <c r="B10" s="60">
        <v>0.20699999999999999</v>
      </c>
    </row>
    <row r="11" spans="1:2">
      <c r="A11" s="5">
        <v>9</v>
      </c>
      <c r="B11" s="60">
        <v>0.20699999999999999</v>
      </c>
    </row>
    <row r="12" spans="1:2">
      <c r="A12" s="5">
        <v>10</v>
      </c>
      <c r="B12" s="60">
        <v>0.20699999999999999</v>
      </c>
    </row>
    <row r="13" spans="1:2">
      <c r="A13" s="5">
        <v>11</v>
      </c>
      <c r="B13" s="60">
        <v>0.20699999999999999</v>
      </c>
    </row>
    <row r="14" spans="1:2">
      <c r="A14" s="5">
        <v>12</v>
      </c>
      <c r="B14" s="60">
        <v>0.20699999999999999</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2"/>
  </cols>
  <sheetData>
    <row r="1" spans="1:3" s="15" customFormat="1">
      <c r="A1" s="15" t="s">
        <v>0</v>
      </c>
      <c r="B1" s="15" t="s">
        <v>79</v>
      </c>
      <c r="C1" s="15"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1"/>
  <sheetViews>
    <sheetView workbookViewId="0">
      <selection activeCell="I29" sqref="I29"/>
    </sheetView>
  </sheetViews>
  <sheetFormatPr baseColWidth="10" defaultColWidth="11.44140625" defaultRowHeight="14.4"/>
  <sheetData>
    <row r="1" spans="1:3">
      <c r="A1" s="1" t="s">
        <v>0</v>
      </c>
      <c r="B1" s="6" t="s">
        <v>97</v>
      </c>
      <c r="C1" s="6" t="s">
        <v>98</v>
      </c>
    </row>
  </sheetData>
  <dataValidations count="1">
    <dataValidation allowBlank="1" showInputMessage="1" showErrorMessage="1" promptTitle="Demand" prompt="Demand (MWh) of commodity Co in site Sit for each time step. Column title: &quot;Co.Sit&quot;" sqref="B1:C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2025-09-09T08:04:38Z</dcterms:modified>
</cp:coreProperties>
</file>