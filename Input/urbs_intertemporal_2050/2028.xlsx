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oi\GitHub\urbs-extension\Input\urbs_intertemporal_2050\"/>
    </mc:Choice>
  </mc:AlternateContent>
  <xr:revisionPtr revIDLastSave="0" documentId="13_ncr:1_{CF456CB8-F629-49F0-AD9F-2E762D1F9A28}" xr6:coauthVersionLast="47" xr6:coauthVersionMax="47" xr10:uidLastSave="{00000000-0000-0000-0000-000000000000}"/>
  <bookViews>
    <workbookView xWindow="28680" yWindow="-5445" windowWidth="38640" windowHeight="21120" activeTab="4" xr2:uid="{00000000-000D-0000-FFFF-FFFF00000000}"/>
  </bookViews>
  <sheets>
    <sheet name="Global" sheetId="1" r:id="rId1"/>
    <sheet name="Site" sheetId="2" r:id="rId2"/>
    <sheet name="Commodity" sheetId="3" r:id="rId3"/>
    <sheet name="Process" sheetId="4" r:id="rId4"/>
    <sheet name="Process-Commodity" sheetId="5" r:id="rId5"/>
    <sheet name="Transmission" sheetId="6" r:id="rId6"/>
    <sheet name="Storage" sheetId="7" r:id="rId7"/>
    <sheet name="DSM" sheetId="8" r:id="rId8"/>
    <sheet name="Demand" sheetId="9" r:id="rId9"/>
    <sheet name="SupIm" sheetId="10" r:id="rId10"/>
    <sheet name="Buy-Sell-Price" sheetId="11" r:id="rId11"/>
    <sheet name="TimeVarEff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E30" i="5"/>
  <c r="F3" i="3"/>
  <c r="E3" i="3"/>
  <c r="D3" i="3"/>
  <c r="F2" i="3"/>
  <c r="E2" i="3"/>
  <c r="D2" i="3"/>
  <c r="E28" i="5"/>
  <c r="E27" i="5"/>
  <c r="E23" i="5"/>
  <c r="E25" i="5" s="1"/>
  <c r="E22" i="5"/>
  <c r="E21" i="5"/>
  <c r="E24" i="5" s="1"/>
  <c r="E20" i="5"/>
</calcChain>
</file>

<file path=xl/sharedStrings.xml><?xml version="1.0" encoding="utf-8"?>
<sst xmlns="http://schemas.openxmlformats.org/spreadsheetml/2006/main" count="265" uniqueCount="95">
  <si>
    <t>Property</t>
  </si>
  <si>
    <t>value</t>
  </si>
  <si>
    <t>description</t>
  </si>
  <si>
    <t>Support timeframe</t>
  </si>
  <si>
    <t>Modelled year for intertemporal planning</t>
  </si>
  <si>
    <t>CO2 limit</t>
  </si>
  <si>
    <t>Limits the sum of all created (as calculated by commodity_balance) CO2 in all sites; Only relevant if not minimized</t>
  </si>
  <si>
    <t>Name</t>
  </si>
  <si>
    <t>area</t>
  </si>
  <si>
    <t>EU27</t>
  </si>
  <si>
    <t>Site</t>
  </si>
  <si>
    <t>Commodity</t>
  </si>
  <si>
    <t>Type</t>
  </si>
  <si>
    <t>price</t>
  </si>
  <si>
    <t>max</t>
  </si>
  <si>
    <t>maxperhour</t>
  </si>
  <si>
    <t>SupIm</t>
  </si>
  <si>
    <t>Hydro</t>
  </si>
  <si>
    <t>Elec</t>
  </si>
  <si>
    <t>Demand</t>
  </si>
  <si>
    <t>Lignite</t>
  </si>
  <si>
    <t>Stock</t>
  </si>
  <si>
    <t>inf</t>
  </si>
  <si>
    <t>CO2</t>
  </si>
  <si>
    <t>Env</t>
  </si>
  <si>
    <t>Biomass</t>
  </si>
  <si>
    <t>Nuclear Fuel</t>
  </si>
  <si>
    <t>Coal</t>
  </si>
  <si>
    <t>Process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</si>
  <si>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</si>
  <si>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</si>
  <si>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</si>
  <si>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</si>
  <si>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</si>
  <si>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</si>
  <si>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</si>
  <si>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</si>
  <si>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</si>
  <si>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</si>
  <si>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</si>
  <si>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Hydro (run-of-river)</t>
  </si>
  <si>
    <t>Hydro (reservoir)</t>
  </si>
  <si>
    <t>Coal Plant</t>
  </si>
  <si>
    <t>Coal Lignite</t>
  </si>
  <si>
    <t>Gas Plant (CCGT)</t>
  </si>
  <si>
    <t>Nuclear Plant</t>
  </si>
  <si>
    <t>Biomass Plant</t>
  </si>
  <si>
    <t>Direction</t>
  </si>
  <si>
    <t>ratio</t>
  </si>
  <si>
    <t>ratio-min</t>
  </si>
  <si>
    <t>In</t>
  </si>
  <si>
    <t>Out</t>
  </si>
  <si>
    <t>Site In</t>
  </si>
  <si>
    <t>Site Out</t>
  </si>
  <si>
    <t>Transmission</t>
  </si>
  <si>
    <t>eff</t>
  </si>
  <si>
    <t>reactance</t>
  </si>
  <si>
    <t>difflimit</t>
  </si>
  <si>
    <t>base_voltage</t>
  </si>
  <si>
    <t>Storage</t>
  </si>
  <si>
    <t>cap-lo-c</t>
  </si>
  <si>
    <t>cap-up-c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</si>
  <si>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</si>
  <si>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</si>
  <si>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</si>
  <si>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</si>
  <si>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</si>
  <si>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</si>
  <si>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</si>
  <si>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</si>
  <si>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</si>
  <si>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</si>
  <si>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</si>
  <si>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</si>
  <si>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</si>
  <si>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Hydrogen</t>
  </si>
  <si>
    <t>Pump storage</t>
  </si>
  <si>
    <t>Li-ion battery</t>
  </si>
  <si>
    <t>delay</t>
  </si>
  <si>
    <t>recov</t>
  </si>
  <si>
    <t>cap-max-do</t>
  </si>
  <si>
    <t>cap-max-up</t>
  </si>
  <si>
    <t>t</t>
  </si>
  <si>
    <t>EU27.Elec</t>
  </si>
  <si>
    <t>EU27.Hydro</t>
  </si>
  <si>
    <t>Elec buy</t>
  </si>
  <si>
    <t>Elec sell</t>
  </si>
  <si>
    <t>EU27.Lignite plant</t>
  </si>
  <si>
    <t>EU27.Gas plant</t>
  </si>
  <si>
    <t>Coal CCUS</t>
  </si>
  <si>
    <t>Coal Lignite CCUS</t>
  </si>
  <si>
    <t>Gas Plant (CCGT) CCUS</t>
  </si>
  <si>
    <t>Piped Gas</t>
  </si>
  <si>
    <t xml:space="preserve">LNG </t>
  </si>
  <si>
    <t>Gas Plant (CCGT) 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</si>
</sst>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_-* #,##0_-;\-* #,##0_-;_-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2" borderId="0" xfId="0" applyNumberFormat="1" applyFill="1"/>
    <xf numFmtId="49" fontId="0" fillId="3" borderId="0" xfId="0" applyNumberFormat="1" applyFill="1" applyAlignment="1">
      <alignment horizontal="left"/>
    </xf>
    <xf numFmtId="164" fontId="0" fillId="4" borderId="0" xfId="0" applyNumberFormat="1" applyFill="1" applyAlignment="1">
      <alignment horizontal="right"/>
    </xf>
    <xf numFmtId="0" fontId="0" fillId="0" borderId="2" xfId="0" applyBorder="1"/>
    <xf numFmtId="3" fontId="0" fillId="0" borderId="0" xfId="0" applyNumberFormat="1" applyAlignment="1">
      <alignment vertical="center"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2" fontId="0" fillId="4" borderId="0" xfId="0" applyNumberFormat="1" applyFill="1" applyAlignment="1">
      <alignment horizontal="right" indent="2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left"/>
    </xf>
    <xf numFmtId="0" fontId="2" fillId="5" borderId="0" xfId="0" applyFont="1" applyFill="1"/>
    <xf numFmtId="0" fontId="0" fillId="6" borderId="0" xfId="0" applyFill="1" applyAlignment="1">
      <alignment horizontal="right"/>
    </xf>
    <xf numFmtId="0" fontId="0" fillId="6" borderId="0" xfId="0" applyFill="1"/>
    <xf numFmtId="0" fontId="0" fillId="7" borderId="0" xfId="0" applyFill="1"/>
    <xf numFmtId="3" fontId="0" fillId="7" borderId="0" xfId="0" applyNumberFormat="1" applyFill="1"/>
    <xf numFmtId="0" fontId="2" fillId="8" borderId="0" xfId="0" applyFont="1" applyFill="1"/>
    <xf numFmtId="3" fontId="3" fillId="4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 indent="2"/>
    </xf>
    <xf numFmtId="165" fontId="0" fillId="0" borderId="0" xfId="0" applyNumberFormat="1" applyAlignment="1">
      <alignment horizontal="center"/>
    </xf>
    <xf numFmtId="3" fontId="0" fillId="9" borderId="0" xfId="0" applyNumberFormat="1" applyFill="1"/>
    <xf numFmtId="0" fontId="0" fillId="9" borderId="0" xfId="0" applyFill="1"/>
    <xf numFmtId="3" fontId="0" fillId="10" borderId="0" xfId="0" applyNumberFormat="1" applyFill="1" applyAlignment="1">
      <alignment horizontal="right"/>
    </xf>
    <xf numFmtId="0" fontId="0" fillId="10" borderId="0" xfId="0" applyFill="1" applyAlignment="1">
      <alignment horizontal="right"/>
    </xf>
    <xf numFmtId="166" fontId="0" fillId="7" borderId="0" xfId="0" applyNumberFormat="1" applyFill="1"/>
  </cellXfs>
  <cellStyles count="1">
    <cellStyle name="Standard" xfId="0" builtinId="0"/>
  </cellStyles>
  <dxfs count="6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3" sqref="B3"/>
    </sheetView>
  </sheetViews>
  <sheetFormatPr baseColWidth="10" defaultColWidth="9.109375" defaultRowHeight="14.4" x14ac:dyDescent="0.3"/>
  <cols>
    <col min="2" max="2" width="25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2028</v>
      </c>
      <c r="C2" t="s">
        <v>4</v>
      </c>
    </row>
    <row r="3" spans="1:3" x14ac:dyDescent="0.3">
      <c r="A3" t="s">
        <v>5</v>
      </c>
      <c r="B3" s="7">
        <v>380520000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B2" sqref="A2:XFD3"/>
    </sheetView>
  </sheetViews>
  <sheetFormatPr baseColWidth="10" defaultColWidth="9.109375"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s="22" t="s">
        <v>13</v>
      </c>
      <c r="E1" s="22" t="s">
        <v>14</v>
      </c>
      <c r="F1" s="23" t="s">
        <v>15</v>
      </c>
    </row>
    <row r="2" spans="1:6" x14ac:dyDescent="0.3">
      <c r="A2" s="9" t="s">
        <v>9</v>
      </c>
      <c r="B2" s="9" t="s">
        <v>17</v>
      </c>
      <c r="C2" s="9" t="s">
        <v>16</v>
      </c>
      <c r="D2" s="19" t="e">
        <f>NA()</f>
        <v>#N/A</v>
      </c>
      <c r="E2" s="19" t="e">
        <f>NA()</f>
        <v>#N/A</v>
      </c>
      <c r="F2" s="19" t="e">
        <f>NA()</f>
        <v>#N/A</v>
      </c>
    </row>
    <row r="3" spans="1:6" x14ac:dyDescent="0.3">
      <c r="A3" s="9" t="s">
        <v>9</v>
      </c>
      <c r="B3" s="9" t="s">
        <v>18</v>
      </c>
      <c r="C3" s="9" t="s">
        <v>19</v>
      </c>
      <c r="D3" s="19" t="e">
        <f>NA()</f>
        <v>#N/A</v>
      </c>
      <c r="E3" s="19" t="e">
        <f>NA()</f>
        <v>#N/A</v>
      </c>
      <c r="F3" s="19" t="e">
        <f>NA()</f>
        <v>#N/A</v>
      </c>
    </row>
    <row r="4" spans="1:6" x14ac:dyDescent="0.3">
      <c r="A4" s="9" t="s">
        <v>9</v>
      </c>
      <c r="B4" s="9" t="s">
        <v>20</v>
      </c>
      <c r="C4" s="9" t="s">
        <v>21</v>
      </c>
      <c r="D4">
        <v>8.64</v>
      </c>
      <c r="E4" s="24" t="s">
        <v>22</v>
      </c>
      <c r="F4" s="25" t="s">
        <v>22</v>
      </c>
    </row>
    <row r="5" spans="1:6" x14ac:dyDescent="0.3">
      <c r="A5" s="9" t="s">
        <v>9</v>
      </c>
      <c r="B5" s="9" t="s">
        <v>92</v>
      </c>
      <c r="C5" s="9" t="s">
        <v>21</v>
      </c>
      <c r="D5">
        <v>22.68</v>
      </c>
      <c r="E5" s="24" t="s">
        <v>22</v>
      </c>
      <c r="F5" s="25" t="s">
        <v>22</v>
      </c>
    </row>
    <row r="6" spans="1:6" x14ac:dyDescent="0.3">
      <c r="A6" s="9" t="s">
        <v>9</v>
      </c>
      <c r="B6" s="9" t="s">
        <v>23</v>
      </c>
      <c r="C6" s="9" t="s">
        <v>24</v>
      </c>
      <c r="D6">
        <v>65</v>
      </c>
      <c r="E6" s="24" t="s">
        <v>22</v>
      </c>
      <c r="F6" s="24" t="s">
        <v>22</v>
      </c>
    </row>
    <row r="7" spans="1:6" x14ac:dyDescent="0.3">
      <c r="A7" s="9" t="s">
        <v>9</v>
      </c>
      <c r="B7" s="9" t="s">
        <v>25</v>
      </c>
      <c r="C7" s="9" t="s">
        <v>21</v>
      </c>
      <c r="D7">
        <v>67.680000000000007</v>
      </c>
      <c r="E7" s="24" t="s">
        <v>22</v>
      </c>
      <c r="F7" s="25" t="s">
        <v>22</v>
      </c>
    </row>
    <row r="8" spans="1:6" x14ac:dyDescent="0.3">
      <c r="A8" s="9" t="s">
        <v>9</v>
      </c>
      <c r="B8" s="9" t="s">
        <v>26</v>
      </c>
      <c r="C8" s="9" t="s">
        <v>21</v>
      </c>
      <c r="D8">
        <v>6.12</v>
      </c>
      <c r="E8" s="24" t="s">
        <v>22</v>
      </c>
      <c r="F8" s="25" t="s">
        <v>22</v>
      </c>
    </row>
    <row r="9" spans="1:6" x14ac:dyDescent="0.3">
      <c r="A9" s="9" t="s">
        <v>9</v>
      </c>
      <c r="B9" s="9" t="s">
        <v>27</v>
      </c>
      <c r="C9" s="9" t="s">
        <v>21</v>
      </c>
      <c r="D9">
        <v>6.48</v>
      </c>
      <c r="E9" s="24" t="s">
        <v>22</v>
      </c>
      <c r="F9" s="25" t="s">
        <v>22</v>
      </c>
    </row>
    <row r="10" spans="1:6" x14ac:dyDescent="0.3">
      <c r="A10" s="9" t="s">
        <v>9</v>
      </c>
      <c r="B10" s="9" t="s">
        <v>93</v>
      </c>
      <c r="C10" s="9" t="s">
        <v>21</v>
      </c>
      <c r="D10">
        <v>23.62</v>
      </c>
      <c r="E10" s="24" t="s">
        <v>22</v>
      </c>
      <c r="F10" s="25" t="s">
        <v>22</v>
      </c>
    </row>
  </sheetData>
  <conditionalFormatting sqref="B8:B10">
    <cfRule type="expression" dxfId="5" priority="1">
      <formula>NOT(EXACT(INDIRECT("Z"&amp;ROW()-1&amp;"S1",FALSE()), INDIRECT("Z"&amp;ROW()&amp;"S1",FALSE())))</formula>
    </cfRule>
  </conditionalFormatting>
  <dataValidations count="3">
    <dataValidation allowBlank="1" showInputMessage="1" showErrorMessage="1" promptTitle="Maximum commodity use per hour" prompt="For stock commodities, this value limits the energy use per hour (MW)._x000a_" sqref="F1" xr:uid="{4B220279-92BB-402D-893E-66C7749AB687}"/>
    <dataValidation allowBlank="1" showInputMessage="1" showErrorMessage="1" promptTitle="Maximum commodity use" prompt="For stock commodities, this value limits annual use (MWh) of this commodity. For CO2, this value limits the amount of emissions (t_CO2). If simulation timespan does not cover a full year, the sums are multiplied accordingly before (cf. 'weight' in urbs)." sqref="E1" xr:uid="{972F4C25-9013-4BCC-AF7A-FB2AD2A5E7C5}"/>
    <dataValidation allowBlank="1" showInputMessage="1" showErrorMessage="1" promptTitle="Commodity price (€/MWh)" prompt="Cost for purchasing one unit (MWh) of a stock or buy commodity. Revenue for selling one unit (MWh) of a sell commodity. Cost for creating one unit of environmental commodity._x000a__x000a_Multiplier for sheet &quot;Buy-Sell-Price&quot; for commodity types &quot;Buy&quot; and &quot;Sell&quot;._x000a_" sqref="D1" xr:uid="{F1EBF26D-93E7-4B15-8821-D6392BA09AC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workbookViewId="0">
      <selection activeCell="C2" sqref="A2:XFD3"/>
    </sheetView>
  </sheetViews>
  <sheetFormatPr baseColWidth="10" defaultColWidth="9.109375" defaultRowHeight="14.4" x14ac:dyDescent="0.3"/>
  <sheetData>
    <row r="1" spans="1:13" x14ac:dyDescent="0.3">
      <c r="A1" s="1" t="s">
        <v>10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x14ac:dyDescent="0.3">
      <c r="A2" t="s">
        <v>9</v>
      </c>
      <c r="B2" t="s">
        <v>40</v>
      </c>
      <c r="C2">
        <v>0</v>
      </c>
      <c r="D2">
        <v>46710</v>
      </c>
      <c r="E2" t="s">
        <v>22</v>
      </c>
      <c r="F2">
        <v>0</v>
      </c>
      <c r="G2">
        <v>2731780.38</v>
      </c>
      <c r="H2">
        <v>9923.6103600000006</v>
      </c>
      <c r="I2">
        <v>0</v>
      </c>
      <c r="J2">
        <v>0</v>
      </c>
      <c r="K2">
        <v>7.0999999999999994E-2</v>
      </c>
      <c r="L2">
        <v>60</v>
      </c>
    </row>
    <row r="3" spans="1:13" x14ac:dyDescent="0.3">
      <c r="A3" t="s">
        <v>9</v>
      </c>
      <c r="B3" t="s">
        <v>41</v>
      </c>
      <c r="C3">
        <v>0</v>
      </c>
      <c r="D3">
        <v>59840</v>
      </c>
      <c r="E3" t="s">
        <v>22</v>
      </c>
      <c r="F3">
        <v>0</v>
      </c>
      <c r="G3">
        <v>3345037.2</v>
      </c>
      <c r="H3">
        <v>28432.799999999999</v>
      </c>
      <c r="I3">
        <v>0.35699999999999998</v>
      </c>
      <c r="J3">
        <v>0</v>
      </c>
      <c r="K3">
        <v>7.0999999999999994E-2</v>
      </c>
      <c r="L3">
        <v>50</v>
      </c>
    </row>
    <row r="4" spans="1:13" x14ac:dyDescent="0.3">
      <c r="A4" t="s">
        <v>9</v>
      </c>
      <c r="B4" t="s">
        <v>42</v>
      </c>
      <c r="C4">
        <v>0</v>
      </c>
      <c r="D4" s="21">
        <v>999999</v>
      </c>
      <c r="E4" t="s">
        <v>22</v>
      </c>
      <c r="F4">
        <v>0.5</v>
      </c>
      <c r="G4">
        <v>1784013.3448000001</v>
      </c>
      <c r="H4">
        <v>28544.213516799999</v>
      </c>
      <c r="I4">
        <v>2.7</v>
      </c>
      <c r="J4">
        <v>0</v>
      </c>
      <c r="K4">
        <v>7.0999999999999994E-2</v>
      </c>
      <c r="L4">
        <v>40</v>
      </c>
    </row>
    <row r="5" spans="1:13" x14ac:dyDescent="0.3">
      <c r="A5" t="s">
        <v>9</v>
      </c>
      <c r="B5" t="s">
        <v>43</v>
      </c>
      <c r="C5">
        <v>0</v>
      </c>
      <c r="D5" s="21">
        <v>999999</v>
      </c>
      <c r="E5" t="s">
        <v>22</v>
      </c>
      <c r="F5">
        <v>0.65</v>
      </c>
      <c r="G5">
        <v>2230016.6809999999</v>
      </c>
      <c r="H5">
        <v>52182.390330800001</v>
      </c>
      <c r="I5">
        <v>4.5999999999999996</v>
      </c>
      <c r="J5">
        <v>0</v>
      </c>
      <c r="K5">
        <v>7.0999999999999994E-2</v>
      </c>
      <c r="L5">
        <v>40</v>
      </c>
    </row>
    <row r="6" spans="1:13" x14ac:dyDescent="0.3">
      <c r="A6" t="s">
        <v>9</v>
      </c>
      <c r="B6" t="s">
        <v>44</v>
      </c>
      <c r="C6">
        <v>0</v>
      </c>
      <c r="D6" s="21">
        <v>999999</v>
      </c>
      <c r="E6" t="s">
        <v>22</v>
      </c>
      <c r="F6">
        <v>0.25</v>
      </c>
      <c r="G6">
        <v>802808.92800000007</v>
      </c>
      <c r="H6">
        <v>16725.186000000002</v>
      </c>
      <c r="I6">
        <v>2.6</v>
      </c>
      <c r="J6">
        <v>0</v>
      </c>
      <c r="K6">
        <v>7.0999999999999994E-2</v>
      </c>
      <c r="L6">
        <v>25</v>
      </c>
    </row>
    <row r="7" spans="1:13" x14ac:dyDescent="0.3">
      <c r="A7" t="s">
        <v>9</v>
      </c>
      <c r="B7" t="s">
        <v>45</v>
      </c>
      <c r="C7">
        <v>0</v>
      </c>
      <c r="D7">
        <v>94200</v>
      </c>
      <c r="E7" t="s">
        <v>22</v>
      </c>
      <c r="F7">
        <v>0</v>
      </c>
      <c r="G7">
        <v>5909565.7200000007</v>
      </c>
      <c r="H7">
        <v>133801.48800000001</v>
      </c>
      <c r="I7">
        <v>7.1</v>
      </c>
      <c r="J7">
        <v>0</v>
      </c>
      <c r="K7">
        <v>7.0999999999999994E-2</v>
      </c>
      <c r="L7">
        <v>60</v>
      </c>
    </row>
    <row r="8" spans="1:13" x14ac:dyDescent="0.3">
      <c r="A8" t="s">
        <v>9</v>
      </c>
      <c r="B8" t="s">
        <v>46</v>
      </c>
      <c r="C8">
        <v>0</v>
      </c>
      <c r="D8">
        <v>999999999999</v>
      </c>
      <c r="E8" t="s">
        <v>22</v>
      </c>
      <c r="F8">
        <v>0</v>
      </c>
      <c r="G8">
        <v>5648000</v>
      </c>
      <c r="H8">
        <v>0</v>
      </c>
      <c r="I8">
        <v>44.2</v>
      </c>
      <c r="J8">
        <v>0</v>
      </c>
      <c r="K8">
        <v>7.0999999999999994E-2</v>
      </c>
      <c r="L8">
        <v>25</v>
      </c>
    </row>
    <row r="9" spans="1:13" s="11" customFormat="1" x14ac:dyDescent="0.3">
      <c r="A9" s="11" t="s">
        <v>9</v>
      </c>
      <c r="B9" s="12" t="s">
        <v>89</v>
      </c>
      <c r="C9" s="20">
        <v>0</v>
      </c>
      <c r="D9" s="13">
        <v>0</v>
      </c>
      <c r="E9" s="14" t="s">
        <v>22</v>
      </c>
      <c r="F9" s="15">
        <v>0.5</v>
      </c>
      <c r="G9" s="16">
        <v>3791028.3572399998</v>
      </c>
      <c r="H9" s="16">
        <v>84183.129702000006</v>
      </c>
      <c r="I9" s="16">
        <v>6.75</v>
      </c>
      <c r="J9" s="17">
        <v>0</v>
      </c>
      <c r="K9" s="18">
        <v>7.0999999999999994E-2</v>
      </c>
      <c r="L9" s="16">
        <v>40</v>
      </c>
      <c r="M9" s="19" t="e">
        <v>#N/A</v>
      </c>
    </row>
    <row r="10" spans="1:13" s="11" customFormat="1" x14ac:dyDescent="0.3">
      <c r="A10" s="11" t="s">
        <v>9</v>
      </c>
      <c r="B10" s="12" t="s">
        <v>90</v>
      </c>
      <c r="C10" s="20">
        <v>0</v>
      </c>
      <c r="D10" s="13">
        <v>0</v>
      </c>
      <c r="E10" s="14" t="s">
        <v>22</v>
      </c>
      <c r="F10" s="15">
        <v>0.65</v>
      </c>
      <c r="G10" s="16">
        <v>4014030.0248799999</v>
      </c>
      <c r="H10" s="16">
        <v>76489.572146799997</v>
      </c>
      <c r="I10" s="16">
        <v>6.96</v>
      </c>
      <c r="J10" s="17">
        <v>0</v>
      </c>
      <c r="K10" s="18">
        <v>7.0999999999999994E-2</v>
      </c>
      <c r="L10" s="16">
        <v>40</v>
      </c>
      <c r="M10" s="19" t="e">
        <v>#N/A</v>
      </c>
    </row>
    <row r="11" spans="1:13" s="11" customFormat="1" x14ac:dyDescent="0.3">
      <c r="A11" s="11" t="s">
        <v>9</v>
      </c>
      <c r="B11" s="12" t="s">
        <v>91</v>
      </c>
      <c r="C11" s="20">
        <v>0</v>
      </c>
      <c r="D11" s="13">
        <v>0</v>
      </c>
      <c r="E11" s="14" t="s">
        <v>22</v>
      </c>
      <c r="F11" s="15">
        <v>0.25</v>
      </c>
      <c r="G11" s="16">
        <v>1951271.6999999997</v>
      </c>
      <c r="H11" s="16">
        <v>45715.5</v>
      </c>
      <c r="I11" s="16">
        <v>3.46</v>
      </c>
      <c r="J11" s="17">
        <v>0</v>
      </c>
      <c r="K11" s="18">
        <v>7.0999999999999994E-2</v>
      </c>
      <c r="L11" s="16">
        <v>25</v>
      </c>
      <c r="M11" s="19" t="e">
        <v>#N/A</v>
      </c>
    </row>
    <row r="12" spans="1:13" s="11" customFormat="1" x14ac:dyDescent="0.3">
      <c r="A12" s="11" t="s">
        <v>9</v>
      </c>
      <c r="B12" s="8" t="s">
        <v>94</v>
      </c>
      <c r="C12" s="20">
        <v>0</v>
      </c>
      <c r="D12" s="21">
        <v>999999</v>
      </c>
      <c r="E12" s="14" t="s">
        <v>22</v>
      </c>
      <c r="F12" s="15">
        <v>0.25</v>
      </c>
      <c r="G12" s="26">
        <v>802808.92800000007</v>
      </c>
      <c r="H12" s="26">
        <v>16725.186000000002</v>
      </c>
      <c r="I12" s="16">
        <v>2.6</v>
      </c>
      <c r="J12" s="17">
        <v>0</v>
      </c>
      <c r="K12" s="18">
        <v>7.0999999999999994E-2</v>
      </c>
      <c r="L12" s="16">
        <v>25</v>
      </c>
      <c r="M12" s="19" t="e">
        <v>#N/A</v>
      </c>
    </row>
  </sheetData>
  <conditionalFormatting sqref="A9:C12">
    <cfRule type="expression" dxfId="4" priority="1">
      <formula>NOT(EXACT(INDIRECT("Z"&amp;ROW()-1&amp;"S1",FALSE()), INDIRECT("Z"&amp;ROW()&amp;"S1",FALSE())))</formula>
    </cfRule>
  </conditionalFormatting>
  <conditionalFormatting sqref="N12:XFD12">
    <cfRule type="expression" dxfId="3" priority="4">
      <formula>NOT(EXACT(INDIRECT("Z"&amp;ROW()-1&amp;"S1",FALSE()), INDIRECT("Z"&amp;ROW()&amp;"S1",FALSE())))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workbookViewId="0">
      <selection activeCell="E1" sqref="E1"/>
    </sheetView>
  </sheetViews>
  <sheetFormatPr baseColWidth="10" defaultColWidth="9.109375" defaultRowHeight="14.4" x14ac:dyDescent="0.3"/>
  <cols>
    <col min="1" max="1" width="25.5546875" customWidth="1"/>
    <col min="4" max="4" width="26.6640625" customWidth="1"/>
    <col min="5" max="5" width="26.109375" customWidth="1"/>
  </cols>
  <sheetData>
    <row r="1" spans="1:5" x14ac:dyDescent="0.3">
      <c r="A1" s="1" t="s">
        <v>28</v>
      </c>
      <c r="B1" s="1" t="s">
        <v>11</v>
      </c>
      <c r="C1" s="1" t="s">
        <v>47</v>
      </c>
      <c r="D1" s="1" t="s">
        <v>48</v>
      </c>
      <c r="E1" s="1" t="s">
        <v>49</v>
      </c>
    </row>
    <row r="2" spans="1:5" x14ac:dyDescent="0.3">
      <c r="A2" t="s">
        <v>43</v>
      </c>
      <c r="B2" t="s">
        <v>20</v>
      </c>
      <c r="C2" t="s">
        <v>50</v>
      </c>
      <c r="D2">
        <v>1</v>
      </c>
      <c r="E2">
        <v>2</v>
      </c>
    </row>
    <row r="3" spans="1:5" x14ac:dyDescent="0.3">
      <c r="A3" t="s">
        <v>43</v>
      </c>
      <c r="B3" t="s">
        <v>18</v>
      </c>
      <c r="C3" t="s">
        <v>51</v>
      </c>
      <c r="D3">
        <v>0.41</v>
      </c>
    </row>
    <row r="4" spans="1:5" x14ac:dyDescent="0.3">
      <c r="A4" t="s">
        <v>43</v>
      </c>
      <c r="B4" t="s">
        <v>23</v>
      </c>
      <c r="C4" t="s">
        <v>51</v>
      </c>
      <c r="D4">
        <v>0.36299999999999999</v>
      </c>
      <c r="E4">
        <v>0.8</v>
      </c>
    </row>
    <row r="5" spans="1:5" x14ac:dyDescent="0.3">
      <c r="A5" t="s">
        <v>44</v>
      </c>
      <c r="B5" s="9" t="s">
        <v>92</v>
      </c>
      <c r="C5" t="s">
        <v>50</v>
      </c>
      <c r="D5">
        <v>1</v>
      </c>
      <c r="E5">
        <v>1.2</v>
      </c>
    </row>
    <row r="6" spans="1:5" x14ac:dyDescent="0.3">
      <c r="A6" t="s">
        <v>44</v>
      </c>
      <c r="B6" t="s">
        <v>18</v>
      </c>
      <c r="C6" t="s">
        <v>51</v>
      </c>
      <c r="D6">
        <v>0.6</v>
      </c>
    </row>
    <row r="7" spans="1:5" x14ac:dyDescent="0.3">
      <c r="A7" t="s">
        <v>44</v>
      </c>
      <c r="B7" t="s">
        <v>23</v>
      </c>
      <c r="C7" t="s">
        <v>51</v>
      </c>
      <c r="D7">
        <v>0.20499999999999999</v>
      </c>
      <c r="E7">
        <v>0.246</v>
      </c>
    </row>
    <row r="8" spans="1:5" x14ac:dyDescent="0.3">
      <c r="A8" t="s">
        <v>46</v>
      </c>
      <c r="B8" t="s">
        <v>25</v>
      </c>
      <c r="C8" t="s">
        <v>50</v>
      </c>
      <c r="D8">
        <v>1</v>
      </c>
    </row>
    <row r="9" spans="1:5" x14ac:dyDescent="0.3">
      <c r="A9" t="s">
        <v>46</v>
      </c>
      <c r="B9" t="s">
        <v>18</v>
      </c>
      <c r="C9" t="s">
        <v>51</v>
      </c>
      <c r="D9">
        <v>0.35</v>
      </c>
    </row>
    <row r="10" spans="1:5" x14ac:dyDescent="0.3">
      <c r="A10" t="s">
        <v>46</v>
      </c>
      <c r="B10" t="s">
        <v>23</v>
      </c>
      <c r="C10" t="s">
        <v>51</v>
      </c>
      <c r="D10">
        <v>0</v>
      </c>
    </row>
    <row r="11" spans="1:5" x14ac:dyDescent="0.3">
      <c r="A11" t="s">
        <v>45</v>
      </c>
      <c r="B11" t="s">
        <v>26</v>
      </c>
      <c r="C11" t="s">
        <v>50</v>
      </c>
      <c r="D11">
        <v>1</v>
      </c>
    </row>
    <row r="12" spans="1:5" x14ac:dyDescent="0.3">
      <c r="A12" t="s">
        <v>45</v>
      </c>
      <c r="B12" t="s">
        <v>18</v>
      </c>
      <c r="C12" t="s">
        <v>51</v>
      </c>
      <c r="D12">
        <v>0.38</v>
      </c>
    </row>
    <row r="13" spans="1:5" x14ac:dyDescent="0.3">
      <c r="A13" t="s">
        <v>42</v>
      </c>
      <c r="B13" t="s">
        <v>27</v>
      </c>
      <c r="C13" t="s">
        <v>50</v>
      </c>
      <c r="D13">
        <v>1</v>
      </c>
      <c r="E13">
        <v>1.4</v>
      </c>
    </row>
    <row r="14" spans="1:5" x14ac:dyDescent="0.3">
      <c r="A14" t="s">
        <v>42</v>
      </c>
      <c r="B14" t="s">
        <v>18</v>
      </c>
      <c r="C14" t="s">
        <v>51</v>
      </c>
      <c r="D14">
        <v>0.45</v>
      </c>
    </row>
    <row r="15" spans="1:5" x14ac:dyDescent="0.3">
      <c r="A15" t="s">
        <v>42</v>
      </c>
      <c r="B15" t="s">
        <v>23</v>
      </c>
      <c r="C15" t="s">
        <v>51</v>
      </c>
      <c r="D15">
        <v>0.34179999999999999</v>
      </c>
      <c r="E15">
        <v>0.47851999999999989</v>
      </c>
    </row>
    <row r="16" spans="1:5" x14ac:dyDescent="0.3">
      <c r="A16" t="s">
        <v>40</v>
      </c>
      <c r="B16" t="s">
        <v>17</v>
      </c>
      <c r="C16" t="s">
        <v>50</v>
      </c>
      <c r="D16">
        <v>1</v>
      </c>
    </row>
    <row r="17" spans="1:5" x14ac:dyDescent="0.3">
      <c r="A17" t="s">
        <v>40</v>
      </c>
      <c r="B17" t="s">
        <v>18</v>
      </c>
      <c r="C17" t="s">
        <v>51</v>
      </c>
      <c r="D17">
        <v>1</v>
      </c>
    </row>
    <row r="18" spans="1:5" x14ac:dyDescent="0.3">
      <c r="A18" t="s">
        <v>41</v>
      </c>
      <c r="B18" t="s">
        <v>17</v>
      </c>
      <c r="C18" t="s">
        <v>50</v>
      </c>
      <c r="D18">
        <v>1</v>
      </c>
    </row>
    <row r="19" spans="1:5" x14ac:dyDescent="0.3">
      <c r="A19" t="s">
        <v>41</v>
      </c>
      <c r="B19" t="s">
        <v>18</v>
      </c>
      <c r="C19" t="s">
        <v>51</v>
      </c>
      <c r="D19">
        <v>1</v>
      </c>
    </row>
    <row r="20" spans="1:5" x14ac:dyDescent="0.3">
      <c r="A20" s="8" t="s">
        <v>89</v>
      </c>
      <c r="B20" s="9" t="s">
        <v>27</v>
      </c>
      <c r="C20" s="9" t="s">
        <v>50</v>
      </c>
      <c r="D20" s="10">
        <v>1</v>
      </c>
      <c r="E20" s="10" t="e">
        <f>NA()</f>
        <v>#N/A</v>
      </c>
    </row>
    <row r="21" spans="1:5" x14ac:dyDescent="0.3">
      <c r="A21" s="8" t="s">
        <v>89</v>
      </c>
      <c r="B21" s="9" t="s">
        <v>18</v>
      </c>
      <c r="C21" s="9" t="s">
        <v>51</v>
      </c>
      <c r="D21" s="10">
        <v>0.36</v>
      </c>
      <c r="E21" s="10">
        <f>D21*E19</f>
        <v>0</v>
      </c>
    </row>
    <row r="22" spans="1:5" x14ac:dyDescent="0.3">
      <c r="A22" s="8" t="s">
        <v>89</v>
      </c>
      <c r="B22" s="9" t="s">
        <v>23</v>
      </c>
      <c r="C22" s="9" t="s">
        <v>51</v>
      </c>
      <c r="D22" s="10">
        <v>3.4180000000000002E-2</v>
      </c>
      <c r="E22" s="10" t="e">
        <f>D22*E20</f>
        <v>#N/A</v>
      </c>
    </row>
    <row r="23" spans="1:5" x14ac:dyDescent="0.3">
      <c r="A23" s="8" t="s">
        <v>90</v>
      </c>
      <c r="B23" s="9" t="s">
        <v>27</v>
      </c>
      <c r="C23" s="9" t="s">
        <v>50</v>
      </c>
      <c r="D23" s="10">
        <v>1</v>
      </c>
      <c r="E23" s="10" t="e">
        <f>NA()</f>
        <v>#N/A</v>
      </c>
    </row>
    <row r="24" spans="1:5" x14ac:dyDescent="0.3">
      <c r="A24" s="8" t="s">
        <v>90</v>
      </c>
      <c r="B24" s="9" t="s">
        <v>18</v>
      </c>
      <c r="C24" s="9" t="s">
        <v>51</v>
      </c>
      <c r="D24" s="10">
        <v>0.32</v>
      </c>
      <c r="E24" s="10">
        <f>D24*E21</f>
        <v>0</v>
      </c>
    </row>
    <row r="25" spans="1:5" x14ac:dyDescent="0.3">
      <c r="A25" s="8" t="s">
        <v>90</v>
      </c>
      <c r="B25" s="9" t="s">
        <v>23</v>
      </c>
      <c r="C25" s="9" t="s">
        <v>51</v>
      </c>
      <c r="D25" s="10">
        <v>3.6299999999999999E-2</v>
      </c>
      <c r="E25" s="10" t="e">
        <f>D25*E23</f>
        <v>#N/A</v>
      </c>
    </row>
    <row r="26" spans="1:5" x14ac:dyDescent="0.3">
      <c r="A26" s="8" t="s">
        <v>91</v>
      </c>
      <c r="B26" s="9" t="s">
        <v>92</v>
      </c>
      <c r="C26" s="9" t="s">
        <v>50</v>
      </c>
      <c r="D26" s="10">
        <v>1</v>
      </c>
      <c r="E26" s="10">
        <v>1.2</v>
      </c>
    </row>
    <row r="27" spans="1:5" x14ac:dyDescent="0.3">
      <c r="A27" s="8" t="s">
        <v>91</v>
      </c>
      <c r="B27" s="9" t="s">
        <v>18</v>
      </c>
      <c r="C27" s="9" t="s">
        <v>51</v>
      </c>
      <c r="D27" s="10">
        <v>0.4</v>
      </c>
      <c r="E27" s="10" t="e">
        <f>NA()</f>
        <v>#N/A</v>
      </c>
    </row>
    <row r="28" spans="1:5" x14ac:dyDescent="0.3">
      <c r="A28" s="8" t="s">
        <v>91</v>
      </c>
      <c r="B28" s="9" t="s">
        <v>23</v>
      </c>
      <c r="C28" s="9" t="s">
        <v>51</v>
      </c>
      <c r="D28" s="10">
        <v>2.0500000000000001E-2</v>
      </c>
      <c r="E28" s="10" t="e">
        <f>NA()</f>
        <v>#N/A</v>
      </c>
    </row>
    <row r="29" spans="1:5" x14ac:dyDescent="0.3">
      <c r="A29" s="8" t="s">
        <v>94</v>
      </c>
      <c r="B29" s="9" t="s">
        <v>93</v>
      </c>
      <c r="C29" s="9" t="s">
        <v>50</v>
      </c>
      <c r="D29" s="10">
        <v>1</v>
      </c>
      <c r="E29" s="10">
        <v>1.2</v>
      </c>
    </row>
    <row r="30" spans="1:5" x14ac:dyDescent="0.3">
      <c r="A30" s="8" t="s">
        <v>94</v>
      </c>
      <c r="B30" s="9" t="s">
        <v>18</v>
      </c>
      <c r="C30" s="9" t="s">
        <v>51</v>
      </c>
      <c r="D30" s="10">
        <v>0.6</v>
      </c>
      <c r="E30" s="10" t="e">
        <f>NA()</f>
        <v>#N/A</v>
      </c>
    </row>
    <row r="31" spans="1:5" x14ac:dyDescent="0.3">
      <c r="A31" s="8" t="s">
        <v>94</v>
      </c>
      <c r="B31" s="9" t="s">
        <v>23</v>
      </c>
      <c r="C31" s="9" t="s">
        <v>51</v>
      </c>
      <c r="D31" s="10">
        <v>0.20499999999999999</v>
      </c>
      <c r="E31" s="10">
        <f>D31*E29</f>
        <v>0.24599999999999997</v>
      </c>
    </row>
  </sheetData>
  <conditionalFormatting sqref="A30:C31 E30:E31">
    <cfRule type="expression" dxfId="2" priority="6">
      <formula>NOT(EXACT(INDIRECT("Z"&amp;ROW()-1&amp;"S1",FALSE()), INDIRECT("Z"&amp;ROW()&amp;"S1",FALSE())))</formula>
    </cfRule>
  </conditionalFormatting>
  <conditionalFormatting sqref="A20:E25 A26 C26:E26 A27:E29">
    <cfRule type="expression" dxfId="1" priority="1">
      <formula>NOT(EXACT(INDIRECT("Z"&amp;ROW()-1&amp;"S1",FALSE()), INDIRECT("Z"&amp;ROW()&amp;"S1",FALSE())))</formula>
    </cfRule>
  </conditionalFormatting>
  <conditionalFormatting sqref="D29:D31">
    <cfRule type="expression" dxfId="0" priority="2">
      <formula>NOT(EXACT(INDIRECT("Z"&amp;ROW()-1&amp;"S1",FALSE()), INDIRECT("Z"&amp;ROW()&amp;"S1",FALSE())))</formula>
    </cfRule>
    <cfRule type="dataBar" priority="5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{E017463E-EE8F-442B-9A8A-38DA53AE576B}</x14:id>
        </ext>
      </extLst>
    </cfRule>
  </conditionalFormatting>
  <conditionalFormatting sqref="D30:D31">
    <cfRule type="dataBar" priority="3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{91EB7C5C-C846-406F-BF38-D141C3CEECB1}</x14:id>
        </ext>
      </extLst>
    </cfRule>
  </conditionalFormatting>
  <conditionalFormatting sqref="D20:E28">
    <cfRule type="dataBar" priority="8">
      <dataBar>
        <cfvo type="num" val="0"/>
        <cfvo type="num" val="2"/>
        <color rgb="FF638EC6"/>
      </dataBar>
    </cfRule>
    <cfRule type="dataBar" priority="9">
      <dataBar>
        <cfvo type="num" val="0"/>
        <cfvo type="num" val="2"/>
        <color rgb="FF638EC6"/>
      </dataBar>
    </cfRule>
  </conditionalFormatting>
  <conditionalFormatting sqref="D29:E29 E30:E31">
    <cfRule type="dataBar" priority="4">
      <dataBar>
        <cfvo type="num" val="0"/>
        <cfvo type="num" val="2"/>
        <color rgb="FF638EC6"/>
      </dataBar>
      <extLst>
        <ext xmlns:x14="http://schemas.microsoft.com/office/spreadsheetml/2009/9/main" uri="{B025F937-C7B1-47D3-B67F-A62EFF666E3E}">
          <x14:id>{9754A43B-B4D7-4D43-842D-7E0FBA2B608E}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7463E-EE8F-442B-9A8A-38DA53AE576B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D29:D31</xm:sqref>
        </x14:conditionalFormatting>
        <x14:conditionalFormatting xmlns:xm="http://schemas.microsoft.com/office/excel/2006/main">
          <x14:cfRule type="dataBar" id="{91EB7C5C-C846-406F-BF38-D141C3CEECB1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9754A43B-B4D7-4D43-842D-7E0FBA2B608E}">
            <x14:dataBar minLength="0" maxLength="100" gradient="0">
              <x14:cfvo type="num">
                <xm:f>0</xm:f>
              </x14:cfvo>
              <x14:cfvo type="num">
                <xm:f>2</xm:f>
              </x14:cfvo>
              <x14:negativeFillColor rgb="FFFF0000"/>
              <x14:axisColor rgb="FF000000"/>
            </x14:dataBar>
          </x14:cfRule>
          <xm:sqref>D29:E29 E30:E31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/>
  </sheetViews>
  <sheetFormatPr baseColWidth="10" defaultColWidth="9.109375" defaultRowHeight="14.4" x14ac:dyDescent="0.3"/>
  <sheetData>
    <row r="1" spans="1:15" x14ac:dyDescent="0.3">
      <c r="A1" s="1" t="s">
        <v>52</v>
      </c>
      <c r="B1" s="1" t="s">
        <v>53</v>
      </c>
      <c r="C1" s="1" t="s">
        <v>54</v>
      </c>
      <c r="D1" s="1" t="s">
        <v>11</v>
      </c>
      <c r="E1" s="1" t="s">
        <v>55</v>
      </c>
      <c r="F1" s="1" t="s">
        <v>33</v>
      </c>
      <c r="G1" s="1" t="s">
        <v>34</v>
      </c>
      <c r="H1" s="1" t="s">
        <v>35</v>
      </c>
      <c r="I1" s="1" t="s">
        <v>29</v>
      </c>
      <c r="J1" s="1" t="s">
        <v>30</v>
      </c>
      <c r="K1" s="1" t="s">
        <v>37</v>
      </c>
      <c r="L1" s="1" t="s">
        <v>38</v>
      </c>
      <c r="M1" s="1" t="s">
        <v>56</v>
      </c>
      <c r="N1" s="1" t="s">
        <v>57</v>
      </c>
      <c r="O1" s="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"/>
  <sheetViews>
    <sheetView workbookViewId="0"/>
  </sheetViews>
  <sheetFormatPr baseColWidth="10" defaultColWidth="9.109375" defaultRowHeight="14.4" x14ac:dyDescent="0.3"/>
  <sheetData>
    <row r="1" spans="1:20" x14ac:dyDescent="0.3">
      <c r="A1" s="1" t="s">
        <v>10</v>
      </c>
      <c r="B1" s="1" t="s">
        <v>59</v>
      </c>
      <c r="C1" s="1" t="s">
        <v>11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37</v>
      </c>
      <c r="Q1" s="1" t="s">
        <v>38</v>
      </c>
      <c r="R1" s="1" t="s">
        <v>72</v>
      </c>
      <c r="S1" s="1" t="s">
        <v>73</v>
      </c>
      <c r="T1" s="1" t="s">
        <v>74</v>
      </c>
    </row>
    <row r="2" spans="1:20" x14ac:dyDescent="0.3">
      <c r="A2" t="s">
        <v>9</v>
      </c>
      <c r="B2" t="s">
        <v>75</v>
      </c>
      <c r="C2" t="s">
        <v>18</v>
      </c>
      <c r="D2">
        <v>0</v>
      </c>
      <c r="E2" t="s">
        <v>22</v>
      </c>
      <c r="F2">
        <v>0</v>
      </c>
      <c r="G2" t="s">
        <v>22</v>
      </c>
      <c r="H2">
        <v>0.69</v>
      </c>
      <c r="I2">
        <v>0.3</v>
      </c>
      <c r="J2">
        <v>366000</v>
      </c>
      <c r="K2">
        <v>0</v>
      </c>
      <c r="L2">
        <v>11000</v>
      </c>
      <c r="M2">
        <v>0</v>
      </c>
      <c r="N2">
        <v>0</v>
      </c>
      <c r="O2">
        <v>0</v>
      </c>
      <c r="P2">
        <v>7.2999999999999995E-2</v>
      </c>
      <c r="Q2">
        <v>25</v>
      </c>
      <c r="R2">
        <v>0.5</v>
      </c>
      <c r="S2">
        <v>3.4999999999999999E-6</v>
      </c>
    </row>
    <row r="3" spans="1:20" x14ac:dyDescent="0.3">
      <c r="A3" t="s">
        <v>9</v>
      </c>
      <c r="B3" t="s">
        <v>76</v>
      </c>
      <c r="C3" t="s">
        <v>18</v>
      </c>
      <c r="D3">
        <v>0</v>
      </c>
      <c r="E3" t="s">
        <v>22</v>
      </c>
      <c r="F3">
        <v>0</v>
      </c>
      <c r="G3" t="s">
        <v>22</v>
      </c>
      <c r="H3">
        <v>0.9</v>
      </c>
      <c r="I3">
        <v>0.9</v>
      </c>
      <c r="J3">
        <v>4412341</v>
      </c>
      <c r="K3">
        <v>0</v>
      </c>
      <c r="L3">
        <v>34383</v>
      </c>
      <c r="M3">
        <v>0</v>
      </c>
      <c r="N3">
        <v>8.1999999999999993</v>
      </c>
      <c r="O3">
        <v>0</v>
      </c>
      <c r="P3">
        <v>7.2999999999999995E-2</v>
      </c>
      <c r="Q3">
        <v>25</v>
      </c>
      <c r="R3">
        <v>0.5</v>
      </c>
      <c r="S3">
        <v>0</v>
      </c>
    </row>
    <row r="4" spans="1:20" x14ac:dyDescent="0.3">
      <c r="A4" t="s">
        <v>9</v>
      </c>
      <c r="B4" t="s">
        <v>77</v>
      </c>
      <c r="C4" t="s">
        <v>18</v>
      </c>
      <c r="D4">
        <v>0</v>
      </c>
      <c r="E4" t="s">
        <v>22</v>
      </c>
      <c r="F4">
        <v>0</v>
      </c>
      <c r="G4" t="s">
        <v>22</v>
      </c>
      <c r="H4">
        <v>0.86</v>
      </c>
      <c r="I4">
        <v>0.86</v>
      </c>
      <c r="J4">
        <v>0</v>
      </c>
      <c r="K4">
        <v>520000</v>
      </c>
      <c r="L4">
        <v>0</v>
      </c>
      <c r="M4">
        <v>5000</v>
      </c>
      <c r="N4">
        <v>0.4</v>
      </c>
      <c r="O4">
        <v>0</v>
      </c>
      <c r="P4">
        <v>7.2999999999999995E-2</v>
      </c>
      <c r="Q4">
        <v>25</v>
      </c>
      <c r="R4">
        <v>0.5</v>
      </c>
      <c r="S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baseColWidth="10" defaultColWidth="9.109375" defaultRowHeight="14.4" x14ac:dyDescent="0.3"/>
  <sheetData>
    <row r="1" spans="1:7" x14ac:dyDescent="0.3">
      <c r="A1" s="1" t="s">
        <v>10</v>
      </c>
      <c r="B1" s="1" t="s">
        <v>11</v>
      </c>
      <c r="C1" s="1" t="s">
        <v>78</v>
      </c>
      <c r="D1" s="1" t="s">
        <v>55</v>
      </c>
      <c r="E1" s="1" t="s">
        <v>79</v>
      </c>
      <c r="F1" s="1" t="s">
        <v>80</v>
      </c>
      <c r="G1" s="1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>
      <selection activeCell="D12" sqref="D12"/>
    </sheetView>
  </sheetViews>
  <sheetFormatPr baseColWidth="10" defaultColWidth="9.109375" defaultRowHeight="14.4" x14ac:dyDescent="0.3"/>
  <cols>
    <col min="2" max="2" width="11" bestFit="1" customWidth="1"/>
  </cols>
  <sheetData>
    <row r="1" spans="1:2" x14ac:dyDescent="0.3">
      <c r="A1" s="1" t="s">
        <v>82</v>
      </c>
      <c r="B1" s="1" t="s">
        <v>83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270187500</v>
      </c>
    </row>
    <row r="4" spans="1:2" x14ac:dyDescent="0.3">
      <c r="A4">
        <v>2</v>
      </c>
      <c r="B4">
        <v>270187500</v>
      </c>
    </row>
    <row r="5" spans="1:2" x14ac:dyDescent="0.3">
      <c r="A5">
        <v>3</v>
      </c>
      <c r="B5">
        <v>270187500</v>
      </c>
    </row>
    <row r="6" spans="1:2" x14ac:dyDescent="0.3">
      <c r="A6">
        <v>4</v>
      </c>
      <c r="B6">
        <v>270187500</v>
      </c>
    </row>
    <row r="7" spans="1:2" x14ac:dyDescent="0.3">
      <c r="A7">
        <v>5</v>
      </c>
      <c r="B7">
        <v>270187500</v>
      </c>
    </row>
    <row r="8" spans="1:2" x14ac:dyDescent="0.3">
      <c r="A8">
        <v>6</v>
      </c>
      <c r="B8">
        <v>270187500</v>
      </c>
    </row>
    <row r="9" spans="1:2" x14ac:dyDescent="0.3">
      <c r="A9">
        <v>7</v>
      </c>
      <c r="B9">
        <v>270187500</v>
      </c>
    </row>
    <row r="10" spans="1:2" x14ac:dyDescent="0.3">
      <c r="A10">
        <v>8</v>
      </c>
      <c r="B10">
        <v>270187500</v>
      </c>
    </row>
    <row r="11" spans="1:2" x14ac:dyDescent="0.3">
      <c r="A11">
        <v>9</v>
      </c>
      <c r="B11">
        <v>270187500</v>
      </c>
    </row>
    <row r="12" spans="1:2" x14ac:dyDescent="0.3">
      <c r="A12">
        <v>10</v>
      </c>
      <c r="B12">
        <v>270187500</v>
      </c>
    </row>
    <row r="13" spans="1:2" x14ac:dyDescent="0.3">
      <c r="A13">
        <v>11</v>
      </c>
      <c r="B13">
        <v>270187500</v>
      </c>
    </row>
    <row r="14" spans="1:2" x14ac:dyDescent="0.3">
      <c r="A14">
        <v>12</v>
      </c>
      <c r="B14">
        <v>270187500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>
      <selection activeCell="C1" sqref="B1:C1048576"/>
    </sheetView>
  </sheetViews>
  <sheetFormatPr baseColWidth="10" defaultColWidth="9.109375" defaultRowHeight="14.4" x14ac:dyDescent="0.3"/>
  <sheetData>
    <row r="1" spans="1:2" x14ac:dyDescent="0.3">
      <c r="A1" s="2" t="s">
        <v>82</v>
      </c>
      <c r="B1" s="3" t="s">
        <v>84</v>
      </c>
    </row>
    <row r="2" spans="1:2" x14ac:dyDescent="0.3">
      <c r="A2" s="4">
        <v>0</v>
      </c>
      <c r="B2" s="5">
        <v>0</v>
      </c>
    </row>
    <row r="3" spans="1:2" x14ac:dyDescent="0.3">
      <c r="A3" s="4">
        <v>1</v>
      </c>
      <c r="B3" s="6">
        <v>0.20699999999999999</v>
      </c>
    </row>
    <row r="4" spans="1:2" x14ac:dyDescent="0.3">
      <c r="A4" s="4">
        <v>2</v>
      </c>
      <c r="B4" s="6">
        <v>0.20699999999999999</v>
      </c>
    </row>
    <row r="5" spans="1:2" x14ac:dyDescent="0.3">
      <c r="A5" s="4">
        <v>3</v>
      </c>
      <c r="B5" s="6">
        <v>0.20699999999999999</v>
      </c>
    </row>
    <row r="6" spans="1:2" x14ac:dyDescent="0.3">
      <c r="A6" s="4">
        <v>4</v>
      </c>
      <c r="B6" s="6">
        <v>0.20699999999999999</v>
      </c>
    </row>
    <row r="7" spans="1:2" x14ac:dyDescent="0.3">
      <c r="A7" s="4">
        <v>5</v>
      </c>
      <c r="B7" s="6">
        <v>0.20699999999999999</v>
      </c>
    </row>
    <row r="8" spans="1:2" x14ac:dyDescent="0.3">
      <c r="A8" s="4">
        <v>6</v>
      </c>
      <c r="B8" s="6">
        <v>0.20699999999999999</v>
      </c>
    </row>
    <row r="9" spans="1:2" x14ac:dyDescent="0.3">
      <c r="A9" s="4">
        <v>7</v>
      </c>
      <c r="B9" s="6">
        <v>0.20699999999999999</v>
      </c>
    </row>
    <row r="10" spans="1:2" x14ac:dyDescent="0.3">
      <c r="A10" s="4">
        <v>8</v>
      </c>
      <c r="B10" s="6">
        <v>0.20699999999999999</v>
      </c>
    </row>
    <row r="11" spans="1:2" x14ac:dyDescent="0.3">
      <c r="A11" s="4">
        <v>9</v>
      </c>
      <c r="B11" s="6">
        <v>0.20699999999999999</v>
      </c>
    </row>
    <row r="12" spans="1:2" x14ac:dyDescent="0.3">
      <c r="A12" s="4">
        <v>10</v>
      </c>
      <c r="B12" s="6">
        <v>0.20699999999999999</v>
      </c>
    </row>
    <row r="13" spans="1:2" x14ac:dyDescent="0.3">
      <c r="A13" s="4">
        <v>11</v>
      </c>
      <c r="B13" s="6">
        <v>0.20699999999999999</v>
      </c>
    </row>
    <row r="14" spans="1:2" x14ac:dyDescent="0.3">
      <c r="A14" s="4">
        <v>12</v>
      </c>
      <c r="B14" s="6">
        <v>0.20699999999999999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82</v>
      </c>
      <c r="B1" s="1" t="s">
        <v>85</v>
      </c>
      <c r="C1" s="1" t="s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82</v>
      </c>
      <c r="B1" s="1" t="s">
        <v>87</v>
      </c>
      <c r="C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Global</vt:lpstr>
      <vt:lpstr>Site</vt:lpstr>
      <vt:lpstr>Commodity</vt:lpstr>
      <vt:lpstr>Process</vt:lpstr>
      <vt:lpstr>Process-Commodity</vt:lpstr>
      <vt:lpstr>Transmission</vt:lpstr>
      <vt:lpstr>Storage</vt:lpstr>
      <vt:lpstr>DSM</vt:lpstr>
      <vt:lpstr>Demand</vt:lpstr>
      <vt:lpstr>SupIm</vt:lpstr>
      <vt:lpstr>Buy-Sell-Price</vt:lpstr>
      <vt:lpstr>TimeVarEff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Oitzinger</cp:lastModifiedBy>
  <dcterms:created xsi:type="dcterms:W3CDTF">2024-11-06T10:08:19Z</dcterms:created>
  <dcterms:modified xsi:type="dcterms:W3CDTF">2025-08-19T11:10:10Z</dcterms:modified>
</cp:coreProperties>
</file>