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E1294A14-454B-4C12-A610-4EBC208C09E6}" xr6:coauthVersionLast="47" xr6:coauthVersionMax="47" xr10:uidLastSave="{00000000-0000-0000-0000-000000000000}"/>
  <bookViews>
    <workbookView xWindow="28680" yWindow="-5445" windowWidth="38640" windowHeight="21120" activeTab="8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lng_block" sheetId="13" r:id="rId9"/>
  </sheets>
  <definedNames>
    <definedName name="_xlnm._FilterDatabase" localSheetId="8" hidden="1">lng_block!$C$1:$C$15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4" i="3" s="1"/>
  <c r="B5" i="3" s="1"/>
  <c r="B6" i="3" s="1"/>
  <c r="B7" i="3" s="1"/>
  <c r="B8" i="3" s="1"/>
</calcChain>
</file>

<file path=xl/sharedStrings.xml><?xml version="1.0" encoding="utf-8"?>
<sst xmlns="http://schemas.openxmlformats.org/spreadsheetml/2006/main" count="148" uniqueCount="132">
  <si>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</si>
  <si>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</si>
  <si>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</si>
  <si>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</si>
  <si>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</si>
  <si>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</si>
  <si>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</si>
  <si>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</si>
  <si>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</si>
  <si>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</si>
  <si>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</si>
  <si>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</si>
  <si>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</si>
  <si>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</si>
  <si>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</si>
  <si>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</si>
  <si>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</si>
  <si>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</si>
  <si>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</si>
  <si>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</si>
  <si>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</si>
  <si>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</si>
  <si>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</si>
  <si>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</si>
  <si>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</si>
  <si>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</si>
  <si>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</si>
  <si>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</si>
  <si>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</si>
  <si>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</si>
  <si>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</si>
  <si>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</si>
  <si>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</si>
  <si>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</si>
  <si>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</si>
  <si>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</si>
  <si>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</si>
  <si>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</si>
  <si>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</si>
  <si>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</si>
  <si>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</si>
  <si>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</si>
  <si>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</si>
  <si>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</si>
  <si>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</si>
  <si>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</si>
  <si>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</si>
  <si>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</si>
  <si>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</si>
  <si>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</si>
  <si>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</si>
  <si>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</si>
  <si>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</si>
  <si>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</si>
  <si>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</si>
  <si>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</si>
  <si>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</si>
  <si>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</si>
  <si>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</si>
  <si>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</si>
  <si>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280 439,83</t>
  </si>
  <si>
    <t>274 754,91</t>
  </si>
  <si>
    <t>269 179,44</t>
  </si>
  <si>
    <t>263 711,78</t>
  </si>
  <si>
    <t>258 350,32</t>
  </si>
  <si>
    <t>253 093,46</t>
  </si>
  <si>
    <t>247 939,65</t>
  </si>
  <si>
    <t>242 887,37</t>
  </si>
  <si>
    <t>237 935,10</t>
  </si>
  <si>
    <t>233 081,40</t>
  </si>
  <si>
    <t>228 324,82</t>
  </si>
  <si>
    <t>223 663,91</t>
  </si>
  <si>
    <t>219 097,32</t>
  </si>
  <si>
    <t>214 623,65</t>
  </si>
  <si>
    <t>210 241,60</t>
  </si>
  <si>
    <t>205 949,84</t>
  </si>
  <si>
    <t>201 747,12</t>
  </si>
  <si>
    <t>197 632,19</t>
  </si>
  <si>
    <t>193 603,83</t>
  </si>
  <si>
    <t>189 660,87</t>
  </si>
  <si>
    <t>185 802,14</t>
  </si>
  <si>
    <t>182 026,51</t>
  </si>
  <si>
    <t>178 332,87</t>
  </si>
  <si>
    <t>174 720,11</t>
  </si>
  <si>
    <t>171 187,17</t>
  </si>
  <si>
    <t>167 732,98</t>
  </si>
  <si>
    <t>164 356,52</t>
  </si>
  <si>
    <t>527 469,86</t>
  </si>
  <si>
    <t>516 785,56</t>
  </si>
  <si>
    <t>506 302,50</t>
  </si>
  <si>
    <t>496 017,89</t>
  </si>
  <si>
    <t>485 929,01</t>
  </si>
  <si>
    <t>476 033,18</t>
  </si>
  <si>
    <t>466 327,80</t>
  </si>
  <si>
    <t>456 810,30</t>
  </si>
  <si>
    <t>447 478,16</t>
  </si>
  <si>
    <t>438 328,91</t>
  </si>
  <si>
    <t>429 360,14</t>
  </si>
  <si>
    <t>420 569,49</t>
  </si>
  <si>
    <t>411 954,65</t>
  </si>
  <si>
    <t>403 513,36</t>
  </si>
  <si>
    <t>395 243,39</t>
  </si>
  <si>
    <t>387 142,59</t>
  </si>
  <si>
    <t>379 208,83</t>
  </si>
  <si>
    <t>371 440,05</t>
  </si>
  <si>
    <t>363 834,24</t>
  </si>
  <si>
    <t>356 389,41</t>
  </si>
  <si>
    <t>349 103,66</t>
  </si>
  <si>
    <t>341 975,10</t>
  </si>
  <si>
    <t>334 991,90</t>
  </si>
  <si>
    <t>328 152,29</t>
  </si>
  <si>
    <t>321 454,54</t>
  </si>
  <si>
    <t>314 897,00</t>
  </si>
  <si>
    <t>308 477,99</t>
  </si>
  <si>
    <t>block</t>
  </si>
  <si>
    <t>limit</t>
  </si>
  <si>
    <t>price</t>
  </si>
  <si>
    <t>Algeria</t>
  </si>
  <si>
    <t>Other Europe</t>
  </si>
  <si>
    <t>Other Africa</t>
  </si>
  <si>
    <t>Trinidad &amp; Tobago</t>
  </si>
  <si>
    <t>USA</t>
  </si>
  <si>
    <t>Other Americas</t>
  </si>
  <si>
    <t>emissions</t>
  </si>
  <si>
    <t>dummy block</t>
  </si>
  <si>
    <t>Qatar</t>
  </si>
  <si>
    <t>Australia</t>
  </si>
  <si>
    <t>Malaysia</t>
  </si>
  <si>
    <t>Indonesia</t>
  </si>
  <si>
    <t>Oman</t>
  </si>
  <si>
    <t>Other Asia Pacific</t>
  </si>
  <si>
    <t>Other 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</si>
</sst>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1DE"/>
        <bgColor rgb="FF000000"/>
      </patternFill>
    </fill>
  </fills>
  <borders count="3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8" fillId="7" borderId="0" xfId="0" applyFont="1" applyFill="1" applyAlignment="1">
      <alignment horizontal="center" vertical="center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Q28"/>
  <sheetViews>
    <sheetView workbookViewId="0">
      <selection activeCell="G2" sqref="G2"/>
    </sheetView>
  </sheetViews>
  <sheetFormatPr baseColWidth="10" defaultRowHeight="14.4" x14ac:dyDescent="0.3"/>
  <cols>
    <col min="2" max="2" width="13.6640625" customWidth="1"/>
    <col min="3" max="3" width="26.6640625" customWidth="1"/>
    <col min="4" max="4" width="37.33203125" customWidth="1"/>
    <col min="5" max="5" width="29.88671875" customWidth="1"/>
    <col min="6" max="6" width="39.88671875" customWidth="1"/>
    <col min="7" max="7" width="21.44140625" customWidth="1"/>
    <col min="9" max="9" width="22.5546875" customWidth="1"/>
    <col min="10" max="10" width="24.109375" customWidth="1"/>
    <col min="11" max="11" width="27.6640625" customWidth="1"/>
    <col min="12" max="12" width="22.88671875" customWidth="1"/>
    <col min="13" max="13" width="20.109375" customWidth="1"/>
    <col min="15" max="15" width="32.6640625" customWidth="1"/>
    <col min="16" max="16" width="35.33203125" customWidth="1"/>
    <col min="17" max="17" width="31.44140625" customWidth="1"/>
  </cols>
  <sheetData>
    <row r="1" spans="1:17" x14ac:dyDescent="0.3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28</v>
      </c>
      <c r="G1" t="s">
        <v>29</v>
      </c>
      <c r="H1" t="s">
        <v>30</v>
      </c>
      <c r="I1" t="s">
        <v>38</v>
      </c>
      <c r="J1" t="s">
        <v>43</v>
      </c>
      <c r="K1" t="s">
        <v>44</v>
      </c>
      <c r="L1" t="s">
        <v>45</v>
      </c>
      <c r="M1" t="s">
        <v>46</v>
      </c>
      <c r="N1" t="s">
        <v>52</v>
      </c>
      <c r="O1" t="s">
        <v>53</v>
      </c>
      <c r="P1" t="s">
        <v>54</v>
      </c>
      <c r="Q1" t="s">
        <v>55</v>
      </c>
    </row>
    <row r="2" spans="1:17" x14ac:dyDescent="0.3">
      <c r="A2">
        <v>2024</v>
      </c>
      <c r="B2">
        <v>250240</v>
      </c>
      <c r="C2">
        <v>303600</v>
      </c>
      <c r="D2" s="8">
        <v>227700</v>
      </c>
      <c r="E2" s="8">
        <v>1000</v>
      </c>
      <c r="F2" s="8">
        <v>1775265.6417320003</v>
      </c>
      <c r="G2" s="8">
        <v>2337972.5216000001</v>
      </c>
      <c r="H2" s="8">
        <v>1646946.1610000001</v>
      </c>
      <c r="I2" s="8">
        <v>1000</v>
      </c>
      <c r="J2" s="8">
        <v>1052044.8400000001</v>
      </c>
      <c r="K2" s="8">
        <v>1673707.7</v>
      </c>
      <c r="L2" s="8">
        <v>1093231.041</v>
      </c>
      <c r="M2">
        <v>1000</v>
      </c>
      <c r="N2" s="2" t="s">
        <v>60</v>
      </c>
      <c r="O2" s="2" t="s">
        <v>87</v>
      </c>
      <c r="P2" s="8">
        <v>489061.86</v>
      </c>
      <c r="Q2">
        <v>1000</v>
      </c>
    </row>
    <row r="3" spans="1:17" x14ac:dyDescent="0.3">
      <c r="A3">
        <v>2025</v>
      </c>
      <c r="B3">
        <v>246486.39999999999</v>
      </c>
      <c r="C3">
        <v>299045.40000000002</v>
      </c>
      <c r="D3" s="8">
        <v>227700</v>
      </c>
      <c r="E3" s="8">
        <v>1000</v>
      </c>
      <c r="F3" s="8">
        <v>1722922.372057667</v>
      </c>
      <c r="G3" s="8">
        <v>2318026.381866667</v>
      </c>
      <c r="H3" s="8">
        <v>1646946.1610000001</v>
      </c>
      <c r="I3" s="8">
        <v>1000</v>
      </c>
      <c r="J3" s="8">
        <v>1042480.7960000001</v>
      </c>
      <c r="K3" s="8">
        <v>1660955.6413333334</v>
      </c>
      <c r="L3" s="8">
        <v>1093231.041</v>
      </c>
      <c r="M3">
        <v>1000</v>
      </c>
      <c r="N3" s="2" t="s">
        <v>61</v>
      </c>
      <c r="O3" s="2" t="s">
        <v>88</v>
      </c>
      <c r="P3" s="8">
        <v>489061.86</v>
      </c>
      <c r="Q3">
        <v>1000</v>
      </c>
    </row>
    <row r="4" spans="1:17" x14ac:dyDescent="0.3">
      <c r="A4">
        <v>2026</v>
      </c>
      <c r="B4">
        <v>242789.10399999999</v>
      </c>
      <c r="C4">
        <v>294559.71899999998</v>
      </c>
      <c r="D4" s="8">
        <v>227700</v>
      </c>
      <c r="E4" s="8">
        <v>1000</v>
      </c>
      <c r="F4" s="8">
        <v>1670579.1023833335</v>
      </c>
      <c r="G4" s="8">
        <v>2298080.2421333333</v>
      </c>
      <c r="H4" s="8">
        <v>1646946.1610000001</v>
      </c>
      <c r="I4" s="8">
        <v>1000</v>
      </c>
      <c r="J4" s="8">
        <v>1032916.7520000001</v>
      </c>
      <c r="K4" s="8">
        <v>1648203.5826666667</v>
      </c>
      <c r="L4" s="8">
        <v>1093231.041</v>
      </c>
      <c r="M4">
        <v>1000</v>
      </c>
      <c r="N4" s="2" t="s">
        <v>62</v>
      </c>
      <c r="O4" s="2" t="s">
        <v>89</v>
      </c>
      <c r="P4" s="8">
        <v>489061.86</v>
      </c>
      <c r="Q4">
        <v>1000</v>
      </c>
    </row>
    <row r="5" spans="1:17" x14ac:dyDescent="0.3">
      <c r="A5">
        <v>2027</v>
      </c>
      <c r="B5">
        <v>239147.26740000001</v>
      </c>
      <c r="C5">
        <v>290141.32319999998</v>
      </c>
      <c r="D5" s="8">
        <v>227700</v>
      </c>
      <c r="E5" s="8">
        <v>1000</v>
      </c>
      <c r="F5" s="8">
        <v>1618235.832709</v>
      </c>
      <c r="G5" s="8">
        <v>2278134.1023999997</v>
      </c>
      <c r="H5" s="8">
        <v>1646946.1610000001</v>
      </c>
      <c r="I5" s="8">
        <v>1000</v>
      </c>
      <c r="J5" s="8">
        <v>1023352.708</v>
      </c>
      <c r="K5" s="8">
        <v>1635451.524</v>
      </c>
      <c r="L5" s="8">
        <v>1093231.041</v>
      </c>
      <c r="M5">
        <v>1000</v>
      </c>
      <c r="N5" s="2" t="s">
        <v>63</v>
      </c>
      <c r="O5" s="2" t="s">
        <v>90</v>
      </c>
      <c r="P5" s="8">
        <v>489061.86</v>
      </c>
      <c r="Q5">
        <v>1000</v>
      </c>
    </row>
    <row r="6" spans="1:17" x14ac:dyDescent="0.3">
      <c r="A6">
        <v>2028</v>
      </c>
      <c r="B6">
        <v>235560.05840000001</v>
      </c>
      <c r="C6">
        <v>285788.2034</v>
      </c>
      <c r="D6" s="8">
        <v>227700</v>
      </c>
      <c r="E6" s="8">
        <v>1000</v>
      </c>
      <c r="F6" s="8">
        <v>1565892.5630346665</v>
      </c>
      <c r="G6" s="8">
        <v>2258187.9626666661</v>
      </c>
      <c r="H6" s="8">
        <v>1646946.1610000001</v>
      </c>
      <c r="I6" s="8">
        <v>1000</v>
      </c>
      <c r="J6" s="8">
        <v>1013788.6639999999</v>
      </c>
      <c r="K6" s="8">
        <v>1622699.4653333335</v>
      </c>
      <c r="L6" s="8">
        <v>1093231.041</v>
      </c>
      <c r="M6">
        <v>1000</v>
      </c>
      <c r="N6" s="2" t="s">
        <v>64</v>
      </c>
      <c r="O6" s="2" t="s">
        <v>91</v>
      </c>
      <c r="P6" s="8">
        <v>489061.86</v>
      </c>
      <c r="Q6">
        <v>1000</v>
      </c>
    </row>
    <row r="7" spans="1:17" x14ac:dyDescent="0.3">
      <c r="A7">
        <v>2029</v>
      </c>
      <c r="B7">
        <v>232026.65760000001</v>
      </c>
      <c r="C7">
        <v>281498.4804</v>
      </c>
      <c r="D7" s="8">
        <v>227700</v>
      </c>
      <c r="E7" s="8">
        <v>1000</v>
      </c>
      <c r="F7" s="8">
        <v>1513549.293360333</v>
      </c>
      <c r="G7" s="8">
        <v>2238241.8229333302</v>
      </c>
      <c r="H7" s="8">
        <v>1646946.1610000001</v>
      </c>
      <c r="I7" s="8">
        <v>1000</v>
      </c>
      <c r="J7" s="8">
        <v>1004224.62</v>
      </c>
      <c r="K7" s="8">
        <v>1609947.4066666667</v>
      </c>
      <c r="L7" s="8">
        <v>1093231.041</v>
      </c>
      <c r="M7">
        <v>1000</v>
      </c>
      <c r="N7" s="2" t="s">
        <v>65</v>
      </c>
      <c r="O7" s="2" t="s">
        <v>92</v>
      </c>
      <c r="P7" s="8">
        <v>489061.86</v>
      </c>
      <c r="Q7">
        <v>1000</v>
      </c>
    </row>
    <row r="8" spans="1:17" x14ac:dyDescent="0.3">
      <c r="A8">
        <v>2030</v>
      </c>
      <c r="B8">
        <v>228546.25769999999</v>
      </c>
      <c r="C8">
        <v>277270.34419999999</v>
      </c>
      <c r="D8" s="8">
        <v>227700</v>
      </c>
      <c r="E8" s="8">
        <v>1000</v>
      </c>
      <c r="F8" s="8">
        <v>1461206.0236859999</v>
      </c>
      <c r="G8" s="8">
        <v>2218295.6831999999</v>
      </c>
      <c r="H8" s="8">
        <v>1646946.1610000001</v>
      </c>
      <c r="I8" s="8">
        <v>1000</v>
      </c>
      <c r="J8" s="8">
        <v>994660.57600000012</v>
      </c>
      <c r="K8" s="8">
        <v>1597195.3480000002</v>
      </c>
      <c r="L8" s="8">
        <v>1093231.041</v>
      </c>
      <c r="M8">
        <v>1000</v>
      </c>
      <c r="N8" s="2" t="s">
        <v>66</v>
      </c>
      <c r="O8" s="2" t="s">
        <v>93</v>
      </c>
      <c r="P8" s="8">
        <v>489061.86</v>
      </c>
      <c r="Q8">
        <v>1000</v>
      </c>
    </row>
    <row r="9" spans="1:17" x14ac:dyDescent="0.3">
      <c r="A9">
        <v>2031</v>
      </c>
      <c r="B9">
        <v>225118.0638</v>
      </c>
      <c r="C9">
        <v>273102.28909999999</v>
      </c>
      <c r="D9" s="8">
        <v>227700</v>
      </c>
      <c r="E9" s="8">
        <v>1000</v>
      </c>
      <c r="F9" s="8">
        <v>1444015.15599508</v>
      </c>
      <c r="G9" s="8">
        <v>2205259.4561600001</v>
      </c>
      <c r="H9" s="8">
        <v>1646946.1610000001</v>
      </c>
      <c r="I9" s="8">
        <v>1000</v>
      </c>
      <c r="J9" s="8">
        <v>992747.76720000012</v>
      </c>
      <c r="K9" s="8">
        <v>1594326.1348000003</v>
      </c>
      <c r="L9" s="8">
        <v>1093231.041</v>
      </c>
      <c r="M9">
        <v>1000</v>
      </c>
      <c r="N9" s="2" t="s">
        <v>67</v>
      </c>
      <c r="O9" s="2" t="s">
        <v>94</v>
      </c>
      <c r="P9" s="8">
        <v>489061.86</v>
      </c>
      <c r="Q9">
        <v>1000</v>
      </c>
    </row>
    <row r="10" spans="1:17" x14ac:dyDescent="0.3">
      <c r="A10">
        <v>2032</v>
      </c>
      <c r="B10">
        <v>221741.2929</v>
      </c>
      <c r="C10">
        <v>268993.2548</v>
      </c>
      <c r="D10" s="8">
        <v>227700</v>
      </c>
      <c r="E10" s="8">
        <v>1000</v>
      </c>
      <c r="F10" s="8">
        <v>1426824.2883041599</v>
      </c>
      <c r="G10" s="8">
        <v>2192223.2291199998</v>
      </c>
      <c r="H10" s="8">
        <v>1646946.1610000001</v>
      </c>
      <c r="I10" s="8">
        <v>1000</v>
      </c>
      <c r="J10" s="8">
        <v>990834.9584</v>
      </c>
      <c r="K10" s="8">
        <v>1591456.9216000002</v>
      </c>
      <c r="L10" s="8">
        <v>1093231.041</v>
      </c>
      <c r="M10">
        <v>1000</v>
      </c>
      <c r="N10" s="2" t="s">
        <v>68</v>
      </c>
      <c r="O10" s="2" t="s">
        <v>95</v>
      </c>
      <c r="P10" s="8">
        <v>489061.86</v>
      </c>
      <c r="Q10">
        <v>1000</v>
      </c>
    </row>
    <row r="11" spans="1:17" x14ac:dyDescent="0.3">
      <c r="A11">
        <v>2033</v>
      </c>
      <c r="B11">
        <v>218415.1735</v>
      </c>
      <c r="C11">
        <v>264942.41499999998</v>
      </c>
      <c r="D11" s="8">
        <v>227700</v>
      </c>
      <c r="E11" s="8">
        <v>1000</v>
      </c>
      <c r="F11" s="8">
        <v>1409633.42061324</v>
      </c>
      <c r="G11" s="8">
        <v>2179187.0020799995</v>
      </c>
      <c r="H11" s="8">
        <v>1646946.1610000001</v>
      </c>
      <c r="I11" s="8">
        <v>1000</v>
      </c>
      <c r="J11" s="8">
        <v>988922.1496</v>
      </c>
      <c r="K11" s="8">
        <v>1588587.7084000004</v>
      </c>
      <c r="L11" s="8">
        <v>1093231.041</v>
      </c>
      <c r="M11">
        <v>1000</v>
      </c>
      <c r="N11" s="2" t="s">
        <v>69</v>
      </c>
      <c r="O11" s="2" t="s">
        <v>96</v>
      </c>
      <c r="P11" s="8">
        <v>489061.86</v>
      </c>
      <c r="Q11">
        <v>1000</v>
      </c>
    </row>
    <row r="12" spans="1:17" x14ac:dyDescent="0.3">
      <c r="A12">
        <v>2034</v>
      </c>
      <c r="B12">
        <v>215138.94589999999</v>
      </c>
      <c r="C12">
        <v>260948.7948</v>
      </c>
      <c r="D12" s="8">
        <v>227700</v>
      </c>
      <c r="E12" s="8">
        <v>1000</v>
      </c>
      <c r="F12" s="8">
        <v>1392442.5529223196</v>
      </c>
      <c r="G12" s="8">
        <v>2166150.7750399997</v>
      </c>
      <c r="H12" s="8">
        <v>1646946.1610000001</v>
      </c>
      <c r="I12" s="8">
        <v>1000</v>
      </c>
      <c r="J12" s="8">
        <v>987009.34079999989</v>
      </c>
      <c r="K12" s="8">
        <v>1585718.4952000002</v>
      </c>
      <c r="L12" s="8">
        <v>1093231.041</v>
      </c>
      <c r="M12">
        <v>1000</v>
      </c>
      <c r="N12" s="2" t="s">
        <v>70</v>
      </c>
      <c r="O12" s="2" t="s">
        <v>97</v>
      </c>
      <c r="P12" s="8">
        <v>489061.86</v>
      </c>
      <c r="Q12">
        <v>1000</v>
      </c>
    </row>
    <row r="13" spans="1:17" x14ac:dyDescent="0.3">
      <c r="A13">
        <v>2035</v>
      </c>
      <c r="B13">
        <v>211911.86170000001</v>
      </c>
      <c r="C13">
        <v>257011.4613</v>
      </c>
      <c r="D13" s="8">
        <v>227700</v>
      </c>
      <c r="E13" s="8">
        <v>1000</v>
      </c>
      <c r="F13" s="8">
        <v>1375251.6852313997</v>
      </c>
      <c r="G13" s="8">
        <v>2153114.5479999995</v>
      </c>
      <c r="H13" s="8">
        <v>1646946.1610000001</v>
      </c>
      <c r="I13" s="8">
        <v>1000</v>
      </c>
      <c r="J13" s="8">
        <v>985096.53199999989</v>
      </c>
      <c r="K13" s="8">
        <v>1582849.2820000004</v>
      </c>
      <c r="L13" s="8">
        <v>1093231.041</v>
      </c>
      <c r="M13">
        <v>1000</v>
      </c>
      <c r="N13" s="2" t="s">
        <v>71</v>
      </c>
      <c r="O13" s="2" t="s">
        <v>98</v>
      </c>
      <c r="P13" s="8">
        <v>489061.86</v>
      </c>
      <c r="Q13">
        <v>1000</v>
      </c>
    </row>
    <row r="14" spans="1:17" x14ac:dyDescent="0.3">
      <c r="A14">
        <v>2036</v>
      </c>
      <c r="B14">
        <v>208733.1838</v>
      </c>
      <c r="C14">
        <v>253129.39139999999</v>
      </c>
      <c r="D14" s="8">
        <v>227700</v>
      </c>
      <c r="E14" s="8">
        <v>1000</v>
      </c>
      <c r="F14" s="8">
        <v>1358060.8175404796</v>
      </c>
      <c r="G14" s="8">
        <v>2140078.3209599997</v>
      </c>
      <c r="H14" s="8">
        <v>1646946.1610000001</v>
      </c>
      <c r="I14" s="8">
        <v>1000</v>
      </c>
      <c r="J14" s="8">
        <v>983183.72319999977</v>
      </c>
      <c r="K14" s="8">
        <v>1579980.0688000005</v>
      </c>
      <c r="L14" s="8">
        <v>1093231.041</v>
      </c>
      <c r="M14">
        <v>1000</v>
      </c>
      <c r="N14" s="2" t="s">
        <v>72</v>
      </c>
      <c r="O14" s="2" t="s">
        <v>99</v>
      </c>
      <c r="P14" s="8">
        <v>489061.86</v>
      </c>
      <c r="Q14">
        <v>1000</v>
      </c>
    </row>
    <row r="15" spans="1:17" x14ac:dyDescent="0.3">
      <c r="A15">
        <v>2037</v>
      </c>
      <c r="B15">
        <v>205602.18599999999</v>
      </c>
      <c r="C15">
        <v>249301.63759999999</v>
      </c>
      <c r="D15" s="8">
        <v>227700</v>
      </c>
      <c r="E15" s="8">
        <v>1000</v>
      </c>
      <c r="F15" s="8">
        <v>1340869.9498495597</v>
      </c>
      <c r="G15" s="8">
        <v>2127042.0939199994</v>
      </c>
      <c r="H15" s="8">
        <v>1646946.1610000001</v>
      </c>
      <c r="I15" s="8">
        <v>1000</v>
      </c>
      <c r="J15" s="8">
        <v>981270.91439999978</v>
      </c>
      <c r="K15" s="8">
        <v>1577110.8556000004</v>
      </c>
      <c r="L15" s="8">
        <v>1093231.041</v>
      </c>
      <c r="M15">
        <v>1000</v>
      </c>
      <c r="N15" s="2" t="s">
        <v>73</v>
      </c>
      <c r="O15" s="2" t="s">
        <v>100</v>
      </c>
      <c r="P15" s="8">
        <v>489061.86</v>
      </c>
      <c r="Q15">
        <v>1000</v>
      </c>
    </row>
    <row r="16" spans="1:17" x14ac:dyDescent="0.3">
      <c r="A16">
        <v>2038</v>
      </c>
      <c r="B16">
        <v>202518.1532</v>
      </c>
      <c r="C16">
        <v>245527.30809999999</v>
      </c>
      <c r="D16" s="8">
        <v>227700</v>
      </c>
      <c r="E16" s="8">
        <v>1000</v>
      </c>
      <c r="F16" s="8">
        <v>1323679.0821586396</v>
      </c>
      <c r="G16" s="8">
        <v>2114005.8668799992</v>
      </c>
      <c r="H16" s="8">
        <v>1646946.1610000001</v>
      </c>
      <c r="I16" s="8">
        <v>1000</v>
      </c>
      <c r="J16" s="8">
        <v>979358.10559999966</v>
      </c>
      <c r="K16" s="8">
        <v>1574241.6424000005</v>
      </c>
      <c r="L16" s="8">
        <v>1093231.041</v>
      </c>
      <c r="M16">
        <v>1000</v>
      </c>
      <c r="N16" s="2" t="s">
        <v>74</v>
      </c>
      <c r="O16" s="2" t="s">
        <v>101</v>
      </c>
      <c r="P16" s="8">
        <v>489061.86</v>
      </c>
      <c r="Q16">
        <v>1000</v>
      </c>
    </row>
    <row r="17" spans="1:17" x14ac:dyDescent="0.3">
      <c r="A17">
        <v>2039</v>
      </c>
      <c r="B17">
        <v>199480.38089999999</v>
      </c>
      <c r="C17">
        <v>241805.39859999999</v>
      </c>
      <c r="D17" s="8">
        <v>227700</v>
      </c>
      <c r="E17" s="8">
        <v>1000</v>
      </c>
      <c r="F17" s="8">
        <v>1306488.2144677194</v>
      </c>
      <c r="G17" s="8">
        <v>2100969.6398399994</v>
      </c>
      <c r="H17" s="8">
        <v>1646946.1610000001</v>
      </c>
      <c r="I17" s="8">
        <v>1000</v>
      </c>
      <c r="J17" s="8">
        <v>977445.29679999966</v>
      </c>
      <c r="K17" s="8">
        <v>1571372.4292000004</v>
      </c>
      <c r="L17" s="8">
        <v>1093231.041</v>
      </c>
      <c r="M17">
        <v>1000</v>
      </c>
      <c r="N17" s="2" t="s">
        <v>75</v>
      </c>
      <c r="O17" s="2" t="s">
        <v>102</v>
      </c>
      <c r="P17" s="8">
        <v>489061.86</v>
      </c>
      <c r="Q17">
        <v>1000</v>
      </c>
    </row>
    <row r="18" spans="1:17" x14ac:dyDescent="0.3">
      <c r="A18">
        <v>2040</v>
      </c>
      <c r="B18">
        <v>196488.1752</v>
      </c>
      <c r="C18">
        <v>238134.9901</v>
      </c>
      <c r="D18" s="8">
        <v>227700</v>
      </c>
      <c r="E18" s="8">
        <v>1000</v>
      </c>
      <c r="F18" s="8">
        <v>1288027.7959324</v>
      </c>
      <c r="G18" s="8">
        <v>2087933.4128</v>
      </c>
      <c r="H18" s="8">
        <v>1646946.1610000001</v>
      </c>
      <c r="I18" s="8">
        <v>1000</v>
      </c>
      <c r="J18" s="8">
        <v>975532.48799999955</v>
      </c>
      <c r="K18" s="8">
        <v>1568503.2160000005</v>
      </c>
      <c r="L18" s="8">
        <v>1093231.041</v>
      </c>
      <c r="M18">
        <v>1000</v>
      </c>
      <c r="N18" s="2" t="s">
        <v>76</v>
      </c>
      <c r="O18" s="2" t="s">
        <v>103</v>
      </c>
      <c r="P18" s="8">
        <v>489061.86</v>
      </c>
      <c r="Q18">
        <v>1000</v>
      </c>
    </row>
    <row r="19" spans="1:17" x14ac:dyDescent="0.3">
      <c r="A19">
        <v>2041</v>
      </c>
      <c r="B19">
        <v>193540.85260000001</v>
      </c>
      <c r="C19">
        <v>234515.065</v>
      </c>
      <c r="D19" s="8">
        <v>227700</v>
      </c>
      <c r="E19" s="8">
        <v>1000</v>
      </c>
      <c r="F19" s="8">
        <v>1288154.7510168403</v>
      </c>
      <c r="G19" s="8">
        <v>2076927.41784</v>
      </c>
      <c r="H19" s="8">
        <v>1646946.1610000001</v>
      </c>
      <c r="I19" s="8">
        <v>1000</v>
      </c>
      <c r="J19" s="8">
        <v>973619.67919999966</v>
      </c>
      <c r="K19" s="8">
        <v>1565634.0028000006</v>
      </c>
      <c r="L19" s="8">
        <v>1093231.041</v>
      </c>
      <c r="M19">
        <v>1000</v>
      </c>
      <c r="N19" s="2" t="s">
        <v>77</v>
      </c>
      <c r="O19" s="2" t="s">
        <v>104</v>
      </c>
      <c r="P19" s="8">
        <v>489061.86</v>
      </c>
      <c r="Q19">
        <v>1000</v>
      </c>
    </row>
    <row r="20" spans="1:17" x14ac:dyDescent="0.3">
      <c r="A20">
        <v>2042</v>
      </c>
      <c r="B20">
        <v>190637.73980000001</v>
      </c>
      <c r="C20">
        <v>230944.68799999999</v>
      </c>
      <c r="D20" s="8">
        <v>227700</v>
      </c>
      <c r="E20" s="8">
        <v>1000</v>
      </c>
      <c r="F20" s="8">
        <v>1288281.7061012802</v>
      </c>
      <c r="G20" s="8">
        <v>2065921.4228800002</v>
      </c>
      <c r="H20" s="8">
        <v>1646946.1610000001</v>
      </c>
      <c r="I20" s="8">
        <v>1000</v>
      </c>
      <c r="J20" s="8">
        <v>971706.87039999955</v>
      </c>
      <c r="K20" s="8">
        <v>1562764.7896000005</v>
      </c>
      <c r="L20" s="8">
        <v>1093231.041</v>
      </c>
      <c r="M20">
        <v>1000</v>
      </c>
      <c r="N20" s="2" t="s">
        <v>78</v>
      </c>
      <c r="O20" s="2" t="s">
        <v>105</v>
      </c>
      <c r="P20" s="8">
        <v>489061.86</v>
      </c>
      <c r="Q20">
        <v>1000</v>
      </c>
    </row>
    <row r="21" spans="1:17" x14ac:dyDescent="0.3">
      <c r="A21">
        <v>2043</v>
      </c>
      <c r="B21">
        <v>187778.17370000001</v>
      </c>
      <c r="C21">
        <v>227422.96530000001</v>
      </c>
      <c r="D21" s="8">
        <v>227700</v>
      </c>
      <c r="E21" s="8">
        <v>1000</v>
      </c>
      <c r="F21" s="8">
        <v>1288408.6611857202</v>
      </c>
      <c r="G21" s="8">
        <v>2054915.4279200002</v>
      </c>
      <c r="H21" s="8">
        <v>1646946.1610000001</v>
      </c>
      <c r="I21" s="8">
        <v>1000</v>
      </c>
      <c r="J21" s="8">
        <v>969794.06159999955</v>
      </c>
      <c r="K21" s="8">
        <v>1559895.5764000006</v>
      </c>
      <c r="L21" s="8">
        <v>1093231.041</v>
      </c>
      <c r="M21">
        <v>1000</v>
      </c>
      <c r="N21" s="2" t="s">
        <v>79</v>
      </c>
      <c r="O21" s="2" t="s">
        <v>106</v>
      </c>
      <c r="P21" s="8">
        <v>489061.86</v>
      </c>
      <c r="Q21">
        <v>1000</v>
      </c>
    </row>
    <row r="22" spans="1:17" x14ac:dyDescent="0.3">
      <c r="A22">
        <v>2044</v>
      </c>
      <c r="B22">
        <v>184961.50109999999</v>
      </c>
      <c r="C22">
        <v>223948.88099999999</v>
      </c>
      <c r="D22" s="8">
        <v>227700</v>
      </c>
      <c r="E22" s="8">
        <v>1000</v>
      </c>
      <c r="F22" s="8">
        <v>1288535.6162701603</v>
      </c>
      <c r="G22" s="8">
        <v>2043909.4329600004</v>
      </c>
      <c r="H22" s="8">
        <v>1646946.1610000001</v>
      </c>
      <c r="I22" s="8">
        <v>1000</v>
      </c>
      <c r="J22" s="8">
        <v>967881.25279999943</v>
      </c>
      <c r="K22" s="8">
        <v>1557026.3632000005</v>
      </c>
      <c r="L22" s="8">
        <v>1093231.041</v>
      </c>
      <c r="M22">
        <v>1000</v>
      </c>
      <c r="N22" s="2" t="s">
        <v>80</v>
      </c>
      <c r="O22" s="2" t="s">
        <v>107</v>
      </c>
      <c r="P22" s="8">
        <v>489061.86</v>
      </c>
      <c r="Q22">
        <v>1000</v>
      </c>
    </row>
    <row r="23" spans="1:17" x14ac:dyDescent="0.3">
      <c r="A23">
        <v>2045</v>
      </c>
      <c r="B23">
        <v>182187.07860000001</v>
      </c>
      <c r="C23">
        <v>220521.46350000001</v>
      </c>
      <c r="D23" s="8">
        <v>227700</v>
      </c>
      <c r="E23" s="8">
        <v>1000</v>
      </c>
      <c r="F23" s="8">
        <v>1288662.5713546001</v>
      </c>
      <c r="G23" s="8">
        <v>2032903.4380000005</v>
      </c>
      <c r="H23" s="8">
        <v>1646946.1610000001</v>
      </c>
      <c r="I23" s="8">
        <v>1000</v>
      </c>
      <c r="J23" s="8">
        <v>965968.44399999944</v>
      </c>
      <c r="K23" s="8">
        <v>1554157.1500000006</v>
      </c>
      <c r="L23" s="8">
        <v>1093231.041</v>
      </c>
      <c r="M23">
        <v>1000</v>
      </c>
      <c r="N23" s="2" t="s">
        <v>81</v>
      </c>
      <c r="O23" s="2" t="s">
        <v>108</v>
      </c>
      <c r="P23" s="8">
        <v>489061.86</v>
      </c>
      <c r="Q23">
        <v>1000</v>
      </c>
    </row>
    <row r="24" spans="1:17" x14ac:dyDescent="0.3">
      <c r="A24">
        <v>2046</v>
      </c>
      <c r="B24">
        <v>179454.27239999999</v>
      </c>
      <c r="C24">
        <v>217139.74350000001</v>
      </c>
      <c r="D24" s="8">
        <v>227700</v>
      </c>
      <c r="E24" s="8">
        <v>1000</v>
      </c>
      <c r="F24" s="8">
        <v>1288789.5264390404</v>
      </c>
      <c r="G24" s="8">
        <v>2021897.4430400007</v>
      </c>
      <c r="H24" s="8">
        <v>1646946.1610000001</v>
      </c>
      <c r="I24" s="8">
        <v>1000</v>
      </c>
      <c r="J24" s="8">
        <v>964055.63519999932</v>
      </c>
      <c r="K24" s="8">
        <v>1551287.9368000007</v>
      </c>
      <c r="L24" s="8">
        <v>1093231.041</v>
      </c>
      <c r="M24">
        <v>1000</v>
      </c>
      <c r="N24" s="2" t="s">
        <v>82</v>
      </c>
      <c r="O24" s="2" t="s">
        <v>109</v>
      </c>
      <c r="P24" s="8">
        <v>489061.86</v>
      </c>
      <c r="Q24">
        <v>1000</v>
      </c>
    </row>
    <row r="25" spans="1:17" x14ac:dyDescent="0.3">
      <c r="A25">
        <v>2047</v>
      </c>
      <c r="B25">
        <v>176762.4583</v>
      </c>
      <c r="C25">
        <v>213802.75769999999</v>
      </c>
      <c r="D25" s="8">
        <v>227700</v>
      </c>
      <c r="E25" s="8">
        <v>1000</v>
      </c>
      <c r="F25" s="8">
        <v>1288916.4815234803</v>
      </c>
      <c r="G25" s="8">
        <v>2010891.4480800009</v>
      </c>
      <c r="H25" s="8">
        <v>1646946.1610000001</v>
      </c>
      <c r="I25" s="8">
        <v>1000</v>
      </c>
      <c r="J25" s="8">
        <v>962142.82639999932</v>
      </c>
      <c r="K25" s="8">
        <v>1548418.7236000006</v>
      </c>
      <c r="L25" s="8">
        <v>1093231.041</v>
      </c>
      <c r="M25">
        <v>1000</v>
      </c>
      <c r="N25" s="2" t="s">
        <v>83</v>
      </c>
      <c r="O25" s="2" t="s">
        <v>110</v>
      </c>
      <c r="P25" s="8">
        <v>489061.86</v>
      </c>
      <c r="Q25">
        <v>1000</v>
      </c>
    </row>
    <row r="26" spans="1:17" x14ac:dyDescent="0.3">
      <c r="A26">
        <v>2048</v>
      </c>
      <c r="B26">
        <v>174111.0214</v>
      </c>
      <c r="C26">
        <v>210509.61679999999</v>
      </c>
      <c r="D26" s="8">
        <v>227700</v>
      </c>
      <c r="E26" s="8">
        <v>1000</v>
      </c>
      <c r="F26" s="8">
        <v>1289043.4366079206</v>
      </c>
      <c r="G26" s="8">
        <v>1999885.4531200009</v>
      </c>
      <c r="H26" s="8">
        <v>1646946.1610000001</v>
      </c>
      <c r="I26" s="8">
        <v>1000</v>
      </c>
      <c r="J26" s="8">
        <v>960230.01759999921</v>
      </c>
      <c r="K26" s="8">
        <v>1545549.5104000007</v>
      </c>
      <c r="L26" s="8">
        <v>1093231.041</v>
      </c>
      <c r="M26">
        <v>1000</v>
      </c>
      <c r="N26" s="2" t="s">
        <v>84</v>
      </c>
      <c r="O26" s="2" t="s">
        <v>111</v>
      </c>
      <c r="P26" s="8">
        <v>489061.86</v>
      </c>
      <c r="Q26">
        <v>1000</v>
      </c>
    </row>
    <row r="27" spans="1:17" x14ac:dyDescent="0.3">
      <c r="A27">
        <v>2049</v>
      </c>
      <c r="B27">
        <v>171499.3561</v>
      </c>
      <c r="C27">
        <v>207259.3126</v>
      </c>
      <c r="D27" s="8">
        <v>227700</v>
      </c>
      <c r="E27" s="8">
        <v>1000</v>
      </c>
      <c r="F27" s="8">
        <v>1289170.3916923604</v>
      </c>
      <c r="G27" s="8">
        <v>1988879.4581600011</v>
      </c>
      <c r="H27" s="8">
        <v>1646946.1610000001</v>
      </c>
      <c r="I27" s="8">
        <v>1000</v>
      </c>
      <c r="J27" s="8">
        <v>958317.20879999921</v>
      </c>
      <c r="K27" s="8">
        <v>1542680.2972000006</v>
      </c>
      <c r="L27" s="8">
        <v>1093231.041</v>
      </c>
      <c r="M27">
        <v>1000</v>
      </c>
      <c r="N27" s="2" t="s">
        <v>85</v>
      </c>
      <c r="O27" s="2" t="s">
        <v>112</v>
      </c>
      <c r="P27" s="8">
        <v>489061.86</v>
      </c>
      <c r="Q27">
        <v>1000</v>
      </c>
    </row>
    <row r="28" spans="1:17" x14ac:dyDescent="0.3">
      <c r="A28">
        <v>2050</v>
      </c>
      <c r="B28">
        <v>168926.8658</v>
      </c>
      <c r="C28">
        <v>204050.9535</v>
      </c>
      <c r="D28" s="8">
        <v>227700</v>
      </c>
      <c r="E28" s="8">
        <v>1000</v>
      </c>
      <c r="F28" s="8">
        <v>1289297.3467768</v>
      </c>
      <c r="G28" s="8">
        <v>1977873.4631999999</v>
      </c>
      <c r="H28" s="8">
        <v>1646946.1610000001</v>
      </c>
      <c r="I28" s="8">
        <v>1000</v>
      </c>
      <c r="J28" s="8">
        <v>956404.40000000026</v>
      </c>
      <c r="K28" s="8">
        <v>1539811.0840000003</v>
      </c>
      <c r="L28" s="8">
        <v>1093231.041</v>
      </c>
      <c r="M28">
        <v>1000</v>
      </c>
      <c r="N28" s="2" t="s">
        <v>86</v>
      </c>
      <c r="O28" s="2" t="s">
        <v>113</v>
      </c>
      <c r="P28" s="8">
        <v>489061.86</v>
      </c>
      <c r="Q28">
        <v>1000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topLeftCell="A169" workbookViewId="0">
      <selection activeCell="C4" sqref="C4"/>
    </sheetView>
  </sheetViews>
  <sheetFormatPr baseColWidth="10" defaultRowHeight="14.4" x14ac:dyDescent="0.3"/>
  <cols>
    <col min="4" max="4" width="17.6640625" customWidth="1"/>
  </cols>
  <sheetData>
    <row r="1" spans="1:6" x14ac:dyDescent="0.3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3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3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3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3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3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3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3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3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3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3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3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3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3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3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3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3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3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3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3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3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3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3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3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3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3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3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3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3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3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3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3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3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3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3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3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3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3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3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3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3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3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3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3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3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3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3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3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3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3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3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3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3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3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3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3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3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3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3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3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3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3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3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3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3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3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3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3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3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3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3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3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3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3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3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3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3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3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3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3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3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3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3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3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3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3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3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3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3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3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3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3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3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3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3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3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3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3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3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3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3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3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3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3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3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3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3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3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3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3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3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3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3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3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3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3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3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3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3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3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3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3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3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3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3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3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3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3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3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3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3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3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3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3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3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3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3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3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3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3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3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3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3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3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3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3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3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3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3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3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3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3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3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3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3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3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3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3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3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3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3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3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3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3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3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3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3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3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3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3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3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3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3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3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3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3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3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3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3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3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3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3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3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3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3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3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3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3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3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3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3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3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3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3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3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3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3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3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3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3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3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3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3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3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3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3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3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3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3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3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3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3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3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3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3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3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3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3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3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3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3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3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3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3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3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3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3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3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3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3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3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3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3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3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3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3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3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3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3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3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3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3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3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3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3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3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3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3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3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3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3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3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3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3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3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3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3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3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3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3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3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3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3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3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3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3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3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3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3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3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3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3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3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3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3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3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3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3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3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3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3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3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3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3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3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3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3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3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3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3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3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3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3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3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3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3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3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3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3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3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3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3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3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3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3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3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3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3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3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3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3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3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3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3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3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3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3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3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3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3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3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3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3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3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3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I34" sqref="I34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3">
      <c r="A2" s="3" t="s">
        <v>27</v>
      </c>
      <c r="B2" s="6">
        <v>260000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0.37409999999999999</v>
      </c>
      <c r="J2" s="6">
        <v>0.38879999999999998</v>
      </c>
      <c r="K2" s="5">
        <v>0.8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7000</v>
      </c>
      <c r="H3" s="5">
        <v>0</v>
      </c>
      <c r="I3" s="5">
        <v>8.5999999999999993E-2</v>
      </c>
      <c r="J3" s="6">
        <v>0.2</v>
      </c>
      <c r="K3" s="5">
        <v>0.8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41</v>
      </c>
      <c r="B4" s="7">
        <v>210000</v>
      </c>
      <c r="C4" s="7">
        <v>0</v>
      </c>
      <c r="D4">
        <v>200</v>
      </c>
      <c r="E4" s="5">
        <v>0.25</v>
      </c>
      <c r="F4" s="5">
        <v>0</v>
      </c>
      <c r="G4" s="6">
        <v>23000</v>
      </c>
      <c r="H4" s="5">
        <v>0</v>
      </c>
      <c r="I4" s="5">
        <v>8.5999999999999993E-2</v>
      </c>
      <c r="J4" s="6">
        <v>0.2</v>
      </c>
      <c r="K4" s="5">
        <v>0.8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0.27439999999999998</v>
      </c>
      <c r="J5" s="6">
        <v>0.3</v>
      </c>
      <c r="K5" s="5">
        <v>0.8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I25" sqref="I2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3">
      <c r="A3">
        <v>2025</v>
      </c>
      <c r="B3">
        <f>SUM(B2*1.04)</f>
        <v>68120</v>
      </c>
      <c r="C3">
        <v>2100</v>
      </c>
      <c r="D3">
        <v>15280</v>
      </c>
      <c r="E3">
        <v>999999</v>
      </c>
    </row>
    <row r="4" spans="1:5" x14ac:dyDescent="0.3">
      <c r="A4">
        <v>2026</v>
      </c>
      <c r="B4">
        <f t="shared" ref="B4:B8" si="0">SUM(B3*1.04)</f>
        <v>70844.800000000003</v>
      </c>
      <c r="C4">
        <v>3960</v>
      </c>
      <c r="D4">
        <v>15850</v>
      </c>
      <c r="E4">
        <v>999999</v>
      </c>
    </row>
    <row r="5" spans="1:5" x14ac:dyDescent="0.3">
      <c r="A5">
        <v>2027</v>
      </c>
      <c r="B5">
        <f t="shared" si="0"/>
        <v>73678.592000000004</v>
      </c>
      <c r="C5">
        <v>3420</v>
      </c>
      <c r="D5">
        <v>18700</v>
      </c>
      <c r="E5">
        <v>999999</v>
      </c>
    </row>
    <row r="6" spans="1:5" x14ac:dyDescent="0.3">
      <c r="A6">
        <v>2028</v>
      </c>
      <c r="B6">
        <f t="shared" si="0"/>
        <v>76625.735680000013</v>
      </c>
      <c r="C6">
        <v>4990</v>
      </c>
      <c r="D6">
        <v>20440</v>
      </c>
      <c r="E6">
        <v>999999</v>
      </c>
    </row>
    <row r="7" spans="1:5" x14ac:dyDescent="0.3">
      <c r="A7">
        <v>2029</v>
      </c>
      <c r="B7">
        <f t="shared" si="0"/>
        <v>79690.765107200015</v>
      </c>
      <c r="C7">
        <v>6410</v>
      </c>
      <c r="D7">
        <v>20900</v>
      </c>
      <c r="E7">
        <v>999999</v>
      </c>
    </row>
    <row r="8" spans="1:5" x14ac:dyDescent="0.3">
      <c r="A8">
        <v>2030</v>
      </c>
      <c r="B8">
        <f t="shared" si="0"/>
        <v>82878.395711488018</v>
      </c>
      <c r="C8">
        <v>6310</v>
      </c>
      <c r="D8">
        <v>21800</v>
      </c>
      <c r="E8">
        <v>999999</v>
      </c>
    </row>
    <row r="9" spans="1:5" x14ac:dyDescent="0.3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3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3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3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3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3">
      <c r="A14">
        <v>2036</v>
      </c>
      <c r="B14">
        <v>82878.395711488018</v>
      </c>
      <c r="C14">
        <v>20887.355507945696</v>
      </c>
      <c r="D14">
        <v>29532.863049035175</v>
      </c>
      <c r="E14">
        <v>999999</v>
      </c>
    </row>
    <row r="15" spans="1:5" x14ac:dyDescent="0.3">
      <c r="A15">
        <v>2037</v>
      </c>
      <c r="B15">
        <v>82878.395711488018</v>
      </c>
      <c r="C15">
        <v>22976.091058740265</v>
      </c>
      <c r="D15">
        <v>29532.863049035175</v>
      </c>
      <c r="E15">
        <v>999999</v>
      </c>
    </row>
    <row r="16" spans="1:5" x14ac:dyDescent="0.3">
      <c r="A16">
        <v>2038</v>
      </c>
      <c r="B16">
        <v>82878.395711488018</v>
      </c>
      <c r="C16">
        <v>25273.700164614293</v>
      </c>
      <c r="D16">
        <v>29532.863049035175</v>
      </c>
      <c r="E16">
        <v>999999</v>
      </c>
    </row>
    <row r="17" spans="1:5" x14ac:dyDescent="0.3">
      <c r="A17">
        <v>2039</v>
      </c>
      <c r="B17">
        <v>82878.395711488018</v>
      </c>
      <c r="C17">
        <v>27801.070181075727</v>
      </c>
      <c r="D17">
        <v>29532.863049035175</v>
      </c>
      <c r="E17">
        <v>999999</v>
      </c>
    </row>
    <row r="18" spans="1:5" x14ac:dyDescent="0.3">
      <c r="A18">
        <v>2040</v>
      </c>
      <c r="B18">
        <v>82878.395711488018</v>
      </c>
      <c r="C18">
        <v>30581.177199183301</v>
      </c>
      <c r="D18">
        <v>30581.177199183301</v>
      </c>
      <c r="E18">
        <v>999999</v>
      </c>
    </row>
    <row r="19" spans="1:5" x14ac:dyDescent="0.3">
      <c r="A19">
        <v>2041</v>
      </c>
      <c r="B19">
        <v>82878.395711488018</v>
      </c>
      <c r="C19">
        <v>30581.177199183301</v>
      </c>
      <c r="D19">
        <v>30581.177199183301</v>
      </c>
      <c r="E19">
        <v>999999</v>
      </c>
    </row>
    <row r="20" spans="1:5" x14ac:dyDescent="0.3">
      <c r="A20">
        <v>2042</v>
      </c>
      <c r="B20">
        <v>82878.395711488018</v>
      </c>
      <c r="C20">
        <v>30581.177199183301</v>
      </c>
      <c r="D20">
        <v>30581.177199183301</v>
      </c>
      <c r="E20">
        <v>999999</v>
      </c>
    </row>
    <row r="21" spans="1:5" x14ac:dyDescent="0.3">
      <c r="A21">
        <v>2043</v>
      </c>
      <c r="B21">
        <v>82878.395711488018</v>
      </c>
      <c r="C21">
        <v>30581.177199183301</v>
      </c>
      <c r="D21">
        <v>30581.177199183301</v>
      </c>
      <c r="E21">
        <v>999999</v>
      </c>
    </row>
    <row r="22" spans="1:5" x14ac:dyDescent="0.3">
      <c r="A22">
        <v>2044</v>
      </c>
      <c r="B22">
        <v>82878.395711488018</v>
      </c>
      <c r="C22">
        <v>30581.177199183301</v>
      </c>
      <c r="D22">
        <v>30581.177199183301</v>
      </c>
      <c r="E22">
        <v>999999</v>
      </c>
    </row>
    <row r="23" spans="1:5" x14ac:dyDescent="0.3">
      <c r="A23">
        <v>2045</v>
      </c>
      <c r="B23">
        <v>82878.395711488018</v>
      </c>
      <c r="C23">
        <v>30581.177199183301</v>
      </c>
      <c r="D23">
        <v>30581.177199183301</v>
      </c>
      <c r="E23">
        <v>999999</v>
      </c>
    </row>
    <row r="24" spans="1:5" x14ac:dyDescent="0.3">
      <c r="A24">
        <v>2046</v>
      </c>
      <c r="B24">
        <v>82878.395711488018</v>
      </c>
      <c r="C24">
        <v>30581.177199183301</v>
      </c>
      <c r="D24">
        <v>30581.177199183301</v>
      </c>
      <c r="E24">
        <v>999999</v>
      </c>
    </row>
    <row r="25" spans="1:5" x14ac:dyDescent="0.3">
      <c r="A25">
        <v>2047</v>
      </c>
      <c r="B25">
        <v>82878.395711488018</v>
      </c>
      <c r="C25">
        <v>30581.177199183301</v>
      </c>
      <c r="D25">
        <v>30581.177199183301</v>
      </c>
      <c r="E25">
        <v>999999</v>
      </c>
    </row>
    <row r="26" spans="1:5" x14ac:dyDescent="0.3">
      <c r="A26">
        <v>2048</v>
      </c>
      <c r="B26">
        <v>82878.395711488018</v>
      </c>
      <c r="C26">
        <v>30581.177199183301</v>
      </c>
      <c r="D26">
        <v>30581.177199183301</v>
      </c>
      <c r="E26">
        <v>999999</v>
      </c>
    </row>
    <row r="27" spans="1:5" x14ac:dyDescent="0.3">
      <c r="A27">
        <v>2049</v>
      </c>
      <c r="B27">
        <v>82878.395711488018</v>
      </c>
      <c r="C27">
        <v>30581.177199183301</v>
      </c>
      <c r="D27">
        <v>30581.177199183301</v>
      </c>
      <c r="E27">
        <v>999999</v>
      </c>
    </row>
    <row r="28" spans="1:5" x14ac:dyDescent="0.3">
      <c r="A28">
        <v>2050</v>
      </c>
      <c r="B28">
        <v>82878.395711488018</v>
      </c>
      <c r="C28">
        <v>30581.177199183301</v>
      </c>
      <c r="D28">
        <v>30581.177199183301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5"/>
  <sheetViews>
    <sheetView tabSelected="1" workbookViewId="0">
      <selection activeCell="C2" sqref="C2"/>
    </sheetView>
  </sheetViews>
  <sheetFormatPr baseColWidth="10" defaultRowHeight="14.4" x14ac:dyDescent="0.3"/>
  <cols>
    <col min="2" max="2" width="12" bestFit="1" customWidth="1"/>
    <col min="5" max="5" width="25.5546875" customWidth="1"/>
  </cols>
  <sheetData>
    <row r="1" spans="1:5" x14ac:dyDescent="0.3">
      <c r="A1" t="s">
        <v>114</v>
      </c>
      <c r="B1" t="s">
        <v>115</v>
      </c>
      <c r="C1" t="s">
        <v>116</v>
      </c>
      <c r="D1" t="s">
        <v>123</v>
      </c>
    </row>
    <row r="2" spans="1:5" x14ac:dyDescent="0.3">
      <c r="A2">
        <v>1</v>
      </c>
      <c r="B2">
        <v>211011120.00000003</v>
      </c>
      <c r="C2" s="8">
        <v>9.61</v>
      </c>
      <c r="D2">
        <v>6.9372000000000003E-2</v>
      </c>
      <c r="E2" s="10" t="s">
        <v>117</v>
      </c>
    </row>
    <row r="3" spans="1:5" x14ac:dyDescent="0.3">
      <c r="A3">
        <v>2</v>
      </c>
      <c r="B3">
        <v>2126230105.0000002</v>
      </c>
      <c r="C3" s="8">
        <v>13.66</v>
      </c>
      <c r="D3">
        <v>4.9157999999999993E-2</v>
      </c>
      <c r="E3" s="10" t="s">
        <v>125</v>
      </c>
    </row>
    <row r="4" spans="1:5" x14ac:dyDescent="0.3">
      <c r="A4">
        <v>3</v>
      </c>
      <c r="B4">
        <v>81239281.200000003</v>
      </c>
      <c r="C4" s="8">
        <v>15.66</v>
      </c>
      <c r="D4">
        <v>4.4639999999999999E-2</v>
      </c>
      <c r="E4" s="10" t="s">
        <v>131</v>
      </c>
    </row>
    <row r="5" spans="1:5" x14ac:dyDescent="0.3">
      <c r="A5">
        <v>4</v>
      </c>
      <c r="B5">
        <v>167331818.16000003</v>
      </c>
      <c r="C5" s="8">
        <v>17.489999999999998</v>
      </c>
      <c r="D5">
        <v>4.4639999999999999E-2</v>
      </c>
      <c r="E5" s="10" t="s">
        <v>129</v>
      </c>
    </row>
    <row r="6" spans="1:5" x14ac:dyDescent="0.3">
      <c r="A6">
        <v>5</v>
      </c>
      <c r="B6">
        <v>90734781.600000009</v>
      </c>
      <c r="C6" s="8">
        <v>18.18</v>
      </c>
      <c r="D6">
        <v>4.6440000000000002E-2</v>
      </c>
      <c r="E6" s="10" t="s">
        <v>118</v>
      </c>
    </row>
    <row r="7" spans="1:5" x14ac:dyDescent="0.3">
      <c r="A7">
        <v>6</v>
      </c>
      <c r="B7">
        <v>1055055600.0000001</v>
      </c>
      <c r="C7" s="8">
        <v>18.87</v>
      </c>
      <c r="D7">
        <v>4.4639999999999999E-2</v>
      </c>
      <c r="E7" s="10" t="s">
        <v>119</v>
      </c>
    </row>
    <row r="8" spans="1:5" x14ac:dyDescent="0.3">
      <c r="A8">
        <v>7</v>
      </c>
      <c r="B8">
        <v>179359452.00000003</v>
      </c>
      <c r="C8" s="8">
        <v>20.09</v>
      </c>
      <c r="D8">
        <v>4.0806000000000002E-2</v>
      </c>
      <c r="E8" s="10" t="s">
        <v>120</v>
      </c>
    </row>
    <row r="9" spans="1:5" x14ac:dyDescent="0.3">
      <c r="A9">
        <v>8</v>
      </c>
      <c r="B9">
        <v>2321122320</v>
      </c>
      <c r="C9" s="8">
        <v>23.61</v>
      </c>
      <c r="D9">
        <v>0.19746</v>
      </c>
      <c r="E9" s="10" t="s">
        <v>121</v>
      </c>
    </row>
    <row r="10" spans="1:5" x14ac:dyDescent="0.3">
      <c r="A10">
        <v>9</v>
      </c>
      <c r="B10">
        <v>633033360</v>
      </c>
      <c r="C10" s="8">
        <v>25.71</v>
      </c>
      <c r="D10">
        <v>5.1839999999999997E-2</v>
      </c>
      <c r="E10" s="10" t="s">
        <v>122</v>
      </c>
    </row>
    <row r="11" spans="1:5" x14ac:dyDescent="0.3">
      <c r="A11">
        <v>10</v>
      </c>
      <c r="B11">
        <v>453673908.00000006</v>
      </c>
      <c r="C11" s="8">
        <v>27.37</v>
      </c>
      <c r="D11">
        <v>5.7239999999999999E-2</v>
      </c>
      <c r="E11" s="10" t="s">
        <v>127</v>
      </c>
    </row>
    <row r="12" spans="1:5" x14ac:dyDescent="0.3">
      <c r="A12">
        <v>11</v>
      </c>
      <c r="B12">
        <v>397755961.20000005</v>
      </c>
      <c r="C12" s="8">
        <v>27.66</v>
      </c>
      <c r="D12">
        <v>5.7239999999999999E-2</v>
      </c>
      <c r="E12" s="10" t="s">
        <v>128</v>
      </c>
    </row>
    <row r="13" spans="1:5" x14ac:dyDescent="0.3">
      <c r="A13">
        <v>12</v>
      </c>
      <c r="B13">
        <v>1477077840.0000002</v>
      </c>
      <c r="C13" s="8">
        <v>34.409999999999997</v>
      </c>
      <c r="D13">
        <v>3.9239999999999997E-2</v>
      </c>
      <c r="E13" s="10" t="s">
        <v>126</v>
      </c>
    </row>
    <row r="14" spans="1:5" x14ac:dyDescent="0.3">
      <c r="A14">
        <v>13</v>
      </c>
      <c r="B14">
        <v>220506620.40000001</v>
      </c>
      <c r="C14" s="8">
        <v>34.409999999999997</v>
      </c>
      <c r="D14">
        <v>5.7239999999999999E-2</v>
      </c>
      <c r="E14" s="10" t="s">
        <v>130</v>
      </c>
    </row>
    <row r="15" spans="1:5" x14ac:dyDescent="0.3">
      <c r="A15">
        <v>14</v>
      </c>
      <c r="B15">
        <v>99999999999</v>
      </c>
      <c r="C15">
        <v>1000</v>
      </c>
      <c r="D15">
        <v>0.19746</v>
      </c>
      <c r="E15" s="10" t="s">
        <v>124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lng_block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2025-09-09T13:59:10Z</dcterms:modified>
</cp:coreProperties>
</file>